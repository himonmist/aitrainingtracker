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:\LinkVision\SoftaidTech\PharmaContent\Reports\files (1)\"/>
    </mc:Choice>
  </mc:AlternateContent>
  <xr:revisionPtr revIDLastSave="0" documentId="13_ncr:1_{9F76328C-6805-49B3-ADE0-EBAB9ACE8E1C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DASHBOARD" sheetId="1" r:id="rId1"/>
    <sheet name="LOOKUP" sheetId="2" state="hidden" r:id="rId2"/>
    <sheet name="TRACKER" sheetId="3" r:id="rId3"/>
    <sheet name="CALL LOG" sheetId="4" r:id="rId4"/>
    <sheet name="COMPANIES" sheetId="5" r:id="rId5"/>
  </sheets>
  <definedNames>
    <definedName name="_xlnm._FilterDatabase" localSheetId="2" hidden="1">TRACKER!$A$3:$T$17</definedName>
    <definedName name="_xlnm.Print_Area" localSheetId="2">TRACKER!$A$1:$T$200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34" i="1" l="1"/>
  <c r="F33" i="1"/>
  <c r="E33" i="1"/>
  <c r="D33" i="1"/>
  <c r="C33" i="1"/>
  <c r="F32" i="1"/>
  <c r="F31" i="1"/>
  <c r="F29" i="1"/>
  <c r="E29" i="1"/>
  <c r="D29" i="1"/>
  <c r="C29" i="1"/>
  <c r="F28" i="1"/>
  <c r="E28" i="1"/>
  <c r="D28" i="1"/>
  <c r="C28" i="1"/>
  <c r="C22" i="1"/>
  <c r="C21" i="1"/>
  <c r="C20" i="1"/>
  <c r="C19" i="1"/>
  <c r="C18" i="1"/>
  <c r="C17" i="1"/>
  <c r="C16" i="1"/>
  <c r="C15" i="1"/>
  <c r="J14" i="1"/>
  <c r="C14" i="1"/>
  <c r="J13" i="1"/>
  <c r="C13" i="1"/>
  <c r="J12" i="1"/>
  <c r="C12" i="1"/>
  <c r="J11" i="1"/>
  <c r="C11" i="1"/>
  <c r="L5" i="1"/>
  <c r="J5" i="1"/>
  <c r="H5" i="1"/>
  <c r="F5" i="1"/>
  <c r="D5" i="1"/>
  <c r="B5" i="1"/>
  <c r="D16" i="1" l="1"/>
  <c r="E21" i="1"/>
  <c r="D21" i="1"/>
  <c r="E22" i="1"/>
  <c r="D22" i="1"/>
  <c r="E20" i="1"/>
  <c r="D20" i="1"/>
  <c r="E19" i="1"/>
  <c r="D19" i="1"/>
  <c r="E18" i="1"/>
  <c r="D18" i="1"/>
  <c r="E17" i="1"/>
  <c r="D17" i="1"/>
  <c r="E15" i="1"/>
  <c r="D15" i="1"/>
  <c r="E14" i="1"/>
  <c r="D14" i="1"/>
  <c r="E13" i="1"/>
  <c r="D13" i="1"/>
  <c r="E12" i="1"/>
  <c r="D12" i="1"/>
  <c r="E16" i="1"/>
  <c r="E11" i="1"/>
  <c r="D11" i="1"/>
</calcChain>
</file>

<file path=xl/sharedStrings.xml><?xml version="1.0" encoding="utf-8"?>
<sst xmlns="http://schemas.openxmlformats.org/spreadsheetml/2006/main" count="662" uniqueCount="361">
  <si>
    <t>📊 PHARMA AI TRAINING — MANAGEMENT DASHBOARD</t>
  </si>
  <si>
    <t>Total Programs</t>
  </si>
  <si>
    <t>Confirmed</t>
  </si>
  <si>
    <t>Proposals Sent</t>
  </si>
  <si>
    <t>Pending Action</t>
  </si>
  <si>
    <t>Completed</t>
  </si>
  <si>
    <t>Active Clients</t>
  </si>
  <si>
    <t>programs</t>
  </si>
  <si>
    <t>clients</t>
  </si>
  <si>
    <t>STATUS BREAKDOWN</t>
  </si>
  <si>
    <t>PRIORITY BREAKDOWN</t>
  </si>
  <si>
    <t>⚡ IMMEDIATE ACTIONS</t>
  </si>
  <si>
    <t>Ref</t>
  </si>
  <si>
    <t>Program</t>
  </si>
  <si>
    <t>Action</t>
  </si>
  <si>
    <t>Active</t>
  </si>
  <si>
    <t>Critical</t>
  </si>
  <si>
    <t>EVR-001</t>
  </si>
  <si>
    <t>Everest Pharma — AI for Oncology Doctors → Await date confirmation</t>
  </si>
  <si>
    <t>2026-06-20</t>
  </si>
  <si>
    <t>Pending Proposal</t>
  </si>
  <si>
    <t>High</t>
  </si>
  <si>
    <t>EVR-002</t>
  </si>
  <si>
    <t>Everest Pharma — PharmaMind AI → Confirm Series 1 kick-off date</t>
  </si>
  <si>
    <t>2026-06-25</t>
  </si>
  <si>
    <t>Proposal Sent</t>
  </si>
  <si>
    <t>Medium</t>
  </si>
  <si>
    <t>ARS-001</t>
  </si>
  <si>
    <t>Aristo — SmartDoc AI Doctors → Follow up: date confirmation</t>
  </si>
  <si>
    <t>2026-06-18</t>
  </si>
  <si>
    <t>Meeting Scheduled</t>
  </si>
  <si>
    <t>Low</t>
  </si>
  <si>
    <t>ARS-002</t>
  </si>
  <si>
    <t>Aristo — AI for HR July 18–19 → Send participant form &amp; survey</t>
  </si>
  <si>
    <t>2026-06-22</t>
  </si>
  <si>
    <t>In Negotiation</t>
  </si>
  <si>
    <t>ARS-003</t>
  </si>
  <si>
    <t>Aristo — Data Analysis Program → Complete &amp; send proposal</t>
  </si>
  <si>
    <t>2026-06-28</t>
  </si>
  <si>
    <t>ARS-004</t>
  </si>
  <si>
    <t>Aristo — Pharma Plant AI → Complete &amp; send proposal</t>
  </si>
  <si>
    <t>2026-06-30</t>
  </si>
  <si>
    <t>Training Scheduled</t>
  </si>
  <si>
    <t>BD Industry Workshop → Finalise venue &amp; marketing</t>
  </si>
  <si>
    <t>2026-07-15</t>
  </si>
  <si>
    <t>Training Ongoing</t>
  </si>
  <si>
    <t>Training Completed</t>
  </si>
  <si>
    <t>Follow-Up Required</t>
  </si>
  <si>
    <t>On Hold</t>
  </si>
  <si>
    <t>Cancelled</t>
  </si>
  <si>
    <t>CLIENT PROGRAM SUMMARY</t>
  </si>
  <si>
    <t>Company</t>
  </si>
  <si>
    <t>Programs</t>
  </si>
  <si>
    <t>Pending</t>
  </si>
  <si>
    <t>Total Participants (Est.)</t>
  </si>
  <si>
    <t>Key Contact</t>
  </si>
  <si>
    <t>Everest Pharma Limited</t>
  </si>
  <si>
    <t>50+</t>
  </si>
  <si>
    <t>Proposal Stage</t>
  </si>
  <si>
    <t>[Contact Name]</t>
  </si>
  <si>
    <t>Aristo Pharma Ltd</t>
  </si>
  <si>
    <t>60+</t>
  </si>
  <si>
    <t>Active — 1 Confirmed</t>
  </si>
  <si>
    <t>📋 HOW TO USE THIS TRACKER</t>
  </si>
  <si>
    <t xml:space="preserve">  ①  TRACKER Sheet: Add new programs in rows below the existing data. Use the dropdown menus for Status, Priority, Department, Series, Company, and Responsible Person.</t>
  </si>
  <si>
    <t xml:space="preserve">  ②  CALL LOG Sheet: Log every client call, email, and meeting. Update the Outcome and Status columns after each interaction.</t>
  </si>
  <si>
    <t xml:space="preserve">  ③  COMPANIES Sheet: Maintain contact information for all pharma clients and prospects. Update Active Programs count manually.</t>
  </si>
  <si>
    <t xml:space="preserve">  ④  DASHBOARD: Refreshes automatically. All counts and charts pull from TRACKER and COMPANIES sheets using formulas.</t>
  </si>
  <si>
    <t xml:space="preserve">  ⑤  Color Coding: Status cells are color-coded automatically. Green = Confirmed/Completed. Gold = Proposal Sent. Red = Follow-Up Required. Blue = Active.</t>
  </si>
  <si>
    <t xml:space="preserve">  ⑥  Dates: Enter all dates in YYYY-MM-DD format for consistent sorting and filtering. Use Excel filters on TRACKER row 3 to sort by status, priority, or company.</t>
  </si>
  <si>
    <t>LOOKUP DATA — DO NOT EDIT</t>
  </si>
  <si>
    <t>Status</t>
  </si>
  <si>
    <t>Priority</t>
  </si>
  <si>
    <t>Training Type</t>
  </si>
  <si>
    <t>Responsible Person</t>
  </si>
  <si>
    <t>Call Outcome</t>
  </si>
  <si>
    <t>Department</t>
  </si>
  <si>
    <t>Series</t>
  </si>
  <si>
    <t>AI for Doctors</t>
  </si>
  <si>
    <t>Md. Hasan Mahfuz</t>
  </si>
  <si>
    <t>Positive — Moving Forward</t>
  </si>
  <si>
    <t>Marketing</t>
  </si>
  <si>
    <t>Series 1 — Foundation</t>
  </si>
  <si>
    <t>Pharma Marketing AI</t>
  </si>
  <si>
    <t>Training Team</t>
  </si>
  <si>
    <t>Interested — Follow Up</t>
  </si>
  <si>
    <t>HR</t>
  </si>
  <si>
    <t>Series 2 — Automation</t>
  </si>
  <si>
    <t>HR AI Workshop</t>
  </si>
  <si>
    <t>Square Pharmaceuticals</t>
  </si>
  <si>
    <t>Account Manager</t>
  </si>
  <si>
    <t>Requested Proposal</t>
  </si>
  <si>
    <t>Medical Affairs</t>
  </si>
  <si>
    <t>Series 3 — Advanced</t>
  </si>
  <si>
    <t>Pharma Plant AI</t>
  </si>
  <si>
    <t>Beximco Pharmaceuticals</t>
  </si>
  <si>
    <t>Partner Trainer</t>
  </si>
  <si>
    <t>Meeting Set</t>
  </si>
  <si>
    <t>Regulatory</t>
  </si>
  <si>
    <t>One-Day Workshop</t>
  </si>
  <si>
    <t>Clinical Research AI</t>
  </si>
  <si>
    <t>ACME Laboratories</t>
  </si>
  <si>
    <t>No Response</t>
  </si>
  <si>
    <t>QA/QC</t>
  </si>
  <si>
    <t>Half-Day Session</t>
  </si>
  <si>
    <t>Regulatory Affairs AI</t>
  </si>
  <si>
    <t>Incepta Pharmaceuticals</t>
  </si>
  <si>
    <t>Not Interested</t>
  </si>
  <si>
    <t>Manufacturing</t>
  </si>
  <si>
    <t>2-Day Workshop</t>
  </si>
  <si>
    <t>QA/QC AI Workshop</t>
  </si>
  <si>
    <t>Renata Limited</t>
  </si>
  <si>
    <t>Callback Requested</t>
  </si>
  <si>
    <t>R&amp;D</t>
  </si>
  <si>
    <t>12-Month Program</t>
  </si>
  <si>
    <t>R&amp;D AI Training</t>
  </si>
  <si>
    <t>Healthcare Pharma</t>
  </si>
  <si>
    <t>Supply Chain</t>
  </si>
  <si>
    <t>Monthly Session</t>
  </si>
  <si>
    <t>Supply Chain AI</t>
  </si>
  <si>
    <t>Globe Pharma</t>
  </si>
  <si>
    <t>Pharmacovigilance</t>
  </si>
  <si>
    <t>Custom</t>
  </si>
  <si>
    <t>Pharmacovigilance AI</t>
  </si>
  <si>
    <t>Other</t>
  </si>
  <si>
    <t>All Departments</t>
  </si>
  <si>
    <t>2-Day Industry Workshop</t>
  </si>
  <si>
    <t>Custom Program</t>
  </si>
  <si>
    <t>🏥 PHARMA AI TRAINING — REQUIREMENT TRACKER</t>
  </si>
  <si>
    <t>ID</t>
  </si>
  <si>
    <t>Company / Client</t>
  </si>
  <si>
    <t>Training Program</t>
  </si>
  <si>
    <t>Series / Format</t>
  </si>
  <si>
    <t>Requirement Details</t>
  </si>
  <si>
    <t>Proposed Date</t>
  </si>
  <si>
    <t>Confirmed Date</t>
  </si>
  <si>
    <t>Training Duration</t>
  </si>
  <si>
    <t>No. of Participants</t>
  </si>
  <si>
    <t>Venue</t>
  </si>
  <si>
    <t>Proposal Ref</t>
  </si>
  <si>
    <t>Next Action</t>
  </si>
  <si>
    <t>Action Due Date</t>
  </si>
  <si>
    <t>Last Updated</t>
  </si>
  <si>
    <t>Remarks / Notes</t>
  </si>
  <si>
    <t>Medical Affairs / Marketing</t>
  </si>
  <si>
    <t>AI for Oncology Doctors</t>
  </si>
  <si>
    <t>One-Day Workshop — Series 1</t>
  </si>
  <si>
    <t>1-day intensive for oncology doctors. Cover AI tools, prompt writing, research analysis, scientific PPT, image/video gen, ethical AI. Mobile-based.</t>
  </si>
  <si>
    <t>1 Day (9AM–4PM)</t>
  </si>
  <si>
    <t>20–30 Doctors</t>
  </si>
  <si>
    <t>Everest Pharma Office, Dhaka</t>
  </si>
  <si>
    <t>Yes</t>
  </si>
  <si>
    <t>EVR-001-PROP-2026</t>
  </si>
  <si>
    <t>Await confirmation of training date and participant list</t>
  </si>
  <si>
    <t>2026-06-09</t>
  </si>
  <si>
    <t>Course content outline shared. Exclusive content agreement available. 30-day post-training WhatsApp support included.</t>
  </si>
  <si>
    <t>Marketing Department</t>
  </si>
  <si>
    <t>PharmaMind AI — Full Marketing Automation</t>
  </si>
  <si>
    <t>12-Month Program (3 Series)</t>
  </si>
  <si>
    <t>Series 1 (Month 1): AI tools, prompts, data analysis, content design, SEO, email automation, ethical AI. Series 2 (Month 3): RAG, dashboards, reporting automation. Series 3 (Month 5): MCP, chatbot, AI Champion.</t>
  </si>
  <si>
    <t>2026-07-01</t>
  </si>
  <si>
    <t>12 Months — 2-Day Training every 2 Months + Monthly Monitoring</t>
  </si>
  <si>
    <t>Full Marketing Team</t>
  </si>
  <si>
    <t>Everest Pharma Premises, Dhaka</t>
  </si>
  <si>
    <t>EVR-002-PROP-2026</t>
  </si>
  <si>
    <t>Confirm kick-off date for Series 1 training</t>
  </si>
  <si>
    <t>80% automation target by Month 6. 100% by Month 12. Marketing AI Playbook + AI Champions. Full 12-month commitment.</t>
  </si>
  <si>
    <t>Marketing (Doctor Engagement)</t>
  </si>
  <si>
    <t>SmartDoc AI — AI for Doctors</t>
  </si>
  <si>
    <t>Half-Day Mobile Session (4 Hours)</t>
  </si>
  <si>
    <t>4-hour mobile-based session: AI tools for doctors, ethical AI, patient management, prescription management AI, diagnosis report processing. 100% mobile — no laptop required.</t>
  </si>
  <si>
    <t>2026-07-10</t>
  </si>
  <si>
    <t>4 Hours (9AM–1PM)</t>
  </si>
  <si>
    <t>15–25 Doctors</t>
  </si>
  <si>
    <t>Aristo Pharma Office, Dhaka</t>
  </si>
  <si>
    <t>ARS-001-PROP-2026</t>
  </si>
  <si>
    <t>Follow up with Marketing Head for date confirmation</t>
  </si>
  <si>
    <t>Exclusive content — not shared with competing pharma. Prompt card + 14-day WhatsApp challenge included. Confidentiality agreement available.</t>
  </si>
  <si>
    <t>HR Department</t>
  </si>
  <si>
    <t>AI for HR Professionals — From Foundations to Pharma Hiring Tools</t>
  </si>
  <si>
    <t>Day 1: AI tools for HR, prompt engineering, CV screening, JD writing, people analytics. Day 2: Real pharma hiring tools, appraisal automation, HR dashboard generation, ethical AI in HR.</t>
  </si>
  <si>
    <t>2026-07-18</t>
  </si>
  <si>
    <t>2 Days (18–19 July 2026)</t>
  </si>
  <si>
    <t>12–20 HR Staff</t>
  </si>
  <si>
    <t>Dhaka, Bangladesh</t>
  </si>
  <si>
    <t>ARS-002-PROP-2026</t>
  </si>
  <si>
    <t>Send participant confirmation form and pre-workshop survey</t>
  </si>
  <si>
    <t>Dates confirmed: 18–19 July 2026. Prepare participant list. Send logistics details 7 days before.</t>
  </si>
  <si>
    <t>HR / Plant Operations</t>
  </si>
  <si>
    <t>AI for Data Analysis, Pharma Marketing &amp; Sales Reporting</t>
  </si>
  <si>
    <t>2-Day Program (New)</t>
  </si>
  <si>
    <t>AI-assisted sales data analysis, pharma reporting pipelines, dashboard generation, Excel AI, automated report dispatch. HR analytics included.</t>
  </si>
  <si>
    <t>2 Days</t>
  </si>
  <si>
    <t>HR Analysts + Sales Reporting Team</t>
  </si>
  <si>
    <t>Aristo Pharma Premises</t>
  </si>
  <si>
    <t>No</t>
  </si>
  <si>
    <t>Finalise course content and send proposal</t>
  </si>
  <si>
    <t>Discussed in meeting. Content outline in development. Send full proposal by end of June 2026.</t>
  </si>
  <si>
    <t>Plant Operations / QA / Production</t>
  </si>
  <si>
    <t>Pharma Plant AI — Basic Sustainable Program</t>
  </si>
  <si>
    <t>1-Day + 6-Month Roadmap</t>
  </si>
  <si>
    <t>AI for QC documentation, CAPA drafting, production planning, inventory intelligence. 3-phase sustainability ladder + internal AI Champion program.</t>
  </si>
  <si>
    <t>1 Day Training + Monthly Follow-Up (6 Months)</t>
  </si>
  <si>
    <t>Plant Staff 15–25</t>
  </si>
  <si>
    <t>Aristo Plant Premises</t>
  </si>
  <si>
    <t>Finalise proposal and send to HR contact</t>
  </si>
  <si>
    <t>Sustainable model: Phase 1 (awareness), Phase 2 (guided practice), Phase 3 (AI Champion-led). Low cost, high impact.</t>
  </si>
  <si>
    <t>CSV Training for Pharma — Malaysia</t>
  </si>
  <si>
    <t>International Residential Program</t>
  </si>
  <si>
    <t>International CSV (Computer System Validation) and pharma AI training. Malaysia venue. First week of August 2026.</t>
  </si>
  <si>
    <t>2026-08-04</t>
  </si>
  <si>
    <t>TBC — First Week August 2026</t>
  </si>
  <si>
    <t>TBC</t>
  </si>
  <si>
    <t>Malaysia</t>
  </si>
  <si>
    <t>Share program details and invite participant nominations</t>
  </si>
  <si>
    <t>International training. Aristo Pharma invited to nominate participants. Details to be shared separately.</t>
  </si>
  <si>
    <t>Bangladesh Pharma Industry (Open Registration)</t>
  </si>
  <si>
    <t>All 10 Departments</t>
  </si>
  <si>
    <t>Transformation of AI in the Pharmaceutical Sector</t>
  </si>
  <si>
    <t>2-Day Industry Workshop — Basic Level</t>
  </si>
  <si>
    <t>Industry-wide public workshop. 12 sessions. 10 departments covered: Regulatory, PV, Clinical Research, QA, Manufacturing, Supply Chain, QC, R&amp;D, Sales &amp; Marketing, HR. Local AI setup, portfolio building, automation, 90-day action plan.</t>
  </si>
  <si>
    <t>2 Days (10AM–5PM)</t>
  </si>
  <si>
    <t>Open Registration — 30–60 Participants</t>
  </si>
  <si>
    <t>Dhaka (Venue TBD)</t>
  </si>
  <si>
    <t>Finalise venue, registration link, and marketing outreach</t>
  </si>
  <si>
    <t>NEW-003</t>
  </si>
  <si>
    <t>📞 CALL LOG &amp; MEETING TRACKER — PHARMA AI TRAINING</t>
  </si>
  <si>
    <t>Log ID</t>
  </si>
  <si>
    <t>Date</t>
  </si>
  <si>
    <t>Time</t>
  </si>
  <si>
    <t>Contact Name</t>
  </si>
  <si>
    <t>Designation</t>
  </si>
  <si>
    <t>Contact Number / Email</t>
  </si>
  <si>
    <t>Meeting Type</t>
  </si>
  <si>
    <t>Discussion Summary</t>
  </si>
  <si>
    <t>Outcome</t>
  </si>
  <si>
    <t>Action Required</t>
  </si>
  <si>
    <t>Follow-Up Date</t>
  </si>
  <si>
    <t>Responsible</t>
  </si>
  <si>
    <t>CL-001</t>
  </si>
  <si>
    <t>2026-06-08</t>
  </si>
  <si>
    <t>10:00 AM</t>
  </si>
  <si>
    <t>Head of Marketing / Training Manager</t>
  </si>
  <si>
    <t>[Phone / Email]</t>
  </si>
  <si>
    <t>Client Visit</t>
  </si>
  <si>
    <t>Initial requirement assessment visit. Discussed AI training needs for oncology doctors and marketing team. Expressed strong interest in both AI for Doctors workshop and a long-term marketing automation program.</t>
  </si>
  <si>
    <t>Prepare full course outlines and proposals for both programs</t>
  </si>
  <si>
    <t>2026-06-15</t>
  </si>
  <si>
    <t>CL-002</t>
  </si>
  <si>
    <t>2:30 PM</t>
  </si>
  <si>
    <t>Head of HR / Marketing Contact</t>
  </si>
  <si>
    <t>Visited Aristo Pharma. HR team discussed AI for Data Analysis &amp; Reporting and Pharma Plant AI requirements. Marketing team discussed SmartDoc AI for Doctors (mobile-based). HR team also confirmed interest in 18–19 July AI for HR workshop.</t>
  </si>
  <si>
    <t>Send introduction emails. Prepare course outlines for 4 programs. Confirm July workshop details.</t>
  </si>
  <si>
    <t>CL-003</t>
  </si>
  <si>
    <t>2026-06-10</t>
  </si>
  <si>
    <t>Training / Marketing Lead</t>
  </si>
  <si>
    <t>[Email]</t>
  </si>
  <si>
    <t>Email — Sent</t>
  </si>
  <si>
    <t>Sent welcome introduction email with upcoming meeting request. Mentioned both programs in brief. Indicated course content outline will be shared shortly.</t>
  </si>
  <si>
    <t>Share full course content outlines for AI for Oncology Doctors and PharmaMind AI</t>
  </si>
  <si>
    <t>Action Pending</t>
  </si>
  <si>
    <t>CL-004</t>
  </si>
  <si>
    <t>[Marketing Contact Name]</t>
  </si>
  <si>
    <t>Marketing Head</t>
  </si>
  <si>
    <t>Sent introduction email for SmartDoc AI — AI for Doctors exclusive mobile training program. Included full course outline, exclusivity commitment, and post-training support details.</t>
  </si>
  <si>
    <t>Follow up if no response within 3 days. Confirm training date.</t>
  </si>
  <si>
    <t>2026-06-13</t>
  </si>
  <si>
    <t>CL-005</t>
  </si>
  <si>
    <t>[HR Contact Name]</t>
  </si>
  <si>
    <t>Head of HR</t>
  </si>
  <si>
    <t>Sent professional email to HR team covering: 1) AI for HR Professionals 2-Day Workshop (18–19 July confirmed), 2) CSV Training Malaysia (Aug), 3) AI for Data Analysis Program (coming shortly), 4) Pharma Plant AI Sustainable Program.</t>
  </si>
  <si>
    <t>Confirm participant list for July 18–19 workshop. Send pre-workshop survey.</t>
  </si>
  <si>
    <t>CL-006</t>
  </si>
  <si>
    <t>Call / Meeting</t>
  </si>
  <si>
    <t>CL-007</t>
  </si>
  <si>
    <t>CL-008</t>
  </si>
  <si>
    <t>🏢 PHARMA CLIENT DIRECTORY</t>
  </si>
  <si>
    <t>Co. ID</t>
  </si>
  <si>
    <t>Company Name</t>
  </si>
  <si>
    <t>Type</t>
  </si>
  <si>
    <t>Primary Contact</t>
  </si>
  <si>
    <t>Phone</t>
  </si>
  <si>
    <t>Email</t>
  </si>
  <si>
    <t>Location</t>
  </si>
  <si>
    <t>Active Programs</t>
  </si>
  <si>
    <t>Relationship Status</t>
  </si>
  <si>
    <t>CO-01</t>
  </si>
  <si>
    <t>Active Client</t>
  </si>
  <si>
    <t>[email@everestpharma.com]</t>
  </si>
  <si>
    <t>2 Programs</t>
  </si>
  <si>
    <t>CO-02</t>
  </si>
  <si>
    <t>5 Programs</t>
  </si>
  <si>
    <t>CO-03</t>
  </si>
  <si>
    <t>Prospect</t>
  </si>
  <si>
    <t>0</t>
  </si>
  <si>
    <t>CO-04</t>
  </si>
  <si>
    <t>CO-05</t>
  </si>
  <si>
    <t>CO-06</t>
  </si>
  <si>
    <t>CO-07</t>
  </si>
  <si>
    <t>CO-08</t>
  </si>
  <si>
    <t>CO-09</t>
  </si>
  <si>
    <t>CO-10</t>
  </si>
  <si>
    <t>(Add New)</t>
  </si>
  <si>
    <t>MN Crop |  All client calls, meetings, and follow-ups</t>
  </si>
  <si>
    <t>MN Crop  |  Active and Prospect Clients</t>
  </si>
  <si>
    <t>MN Crop |  AI Training Division  |  Md. Hasan Mahfuz  |  himonmist@gmail.com  |  +880 1716 510858</t>
  </si>
  <si>
    <t>MN Crop |  AI Training Division  |  Last Updated: 09 June 2026</t>
  </si>
  <si>
    <t>Opsonin Pharma Ltd.</t>
  </si>
  <si>
    <t>Delta Pharmaceuticals</t>
  </si>
  <si>
    <t>Popular Pharmaceuticals</t>
  </si>
  <si>
    <t>Saiful Islam</t>
  </si>
  <si>
    <t xml:space="preserve">Sr. Manager, HR </t>
  </si>
  <si>
    <t>Mahedi Hasan</t>
  </si>
  <si>
    <t>saiful.hrd@aristopharma.com</t>
  </si>
  <si>
    <t xml:space="preserve">Zoha </t>
  </si>
  <si>
    <t>HR GM</t>
  </si>
  <si>
    <t>Opsonin Pharma Limited</t>
  </si>
  <si>
    <t>Delta Pharma Ltd</t>
  </si>
  <si>
    <t>2-Day Workshop- Basic Level</t>
  </si>
  <si>
    <t xml:space="preserve">Course outline complete. Target: All BD pharma professionals. Certificate awarded. </t>
  </si>
  <si>
    <t>All BD Pharmaceuticals Company</t>
  </si>
  <si>
    <t>Participant Target</t>
  </si>
  <si>
    <t>30+</t>
  </si>
  <si>
    <t>OPS-001</t>
  </si>
  <si>
    <t>BDPHR-001</t>
  </si>
  <si>
    <t>Course outline complete. Target: All BD pharma HR , HRBP professionals. Dates confirmed: 18–19 July 2026. Prepare participant list. Send logistics details 7 days before.</t>
  </si>
  <si>
    <t>5-6 July &amp; 22-25 August-2026</t>
  </si>
  <si>
    <t xml:space="preserve">50-60 Participants -3 Batch -Total 160 </t>
  </si>
  <si>
    <t>Borishal</t>
  </si>
  <si>
    <t>Zoha Bhai</t>
  </si>
  <si>
    <t>GM, HR</t>
  </si>
  <si>
    <t>Date almost confirm (5-6 July &amp; 22-25 August-2026) 3 Batch--Total 160 participants</t>
  </si>
  <si>
    <t>CSV program Participate confirmed</t>
  </si>
  <si>
    <t>Masud Rahaman</t>
  </si>
  <si>
    <t>Mamun</t>
  </si>
  <si>
    <t>Radiant Pharma</t>
  </si>
  <si>
    <t>CL-009</t>
  </si>
  <si>
    <t>CL-010</t>
  </si>
  <si>
    <t>CL-011</t>
  </si>
  <si>
    <t>CL-012</t>
  </si>
  <si>
    <t>CL-013</t>
  </si>
  <si>
    <t>Driver Training Program</t>
  </si>
  <si>
    <t>Microtik Training Program</t>
  </si>
  <si>
    <t>AI for Plat Training Program</t>
  </si>
  <si>
    <t>AI for Corporate Training Program</t>
  </si>
  <si>
    <t>AI for Doctor Training Program</t>
  </si>
  <si>
    <t>AI for Doctor Training Program- Abroad Program</t>
  </si>
  <si>
    <t>NEW-004</t>
  </si>
  <si>
    <t>NEW-005</t>
  </si>
  <si>
    <t>NEW-006</t>
  </si>
  <si>
    <t>2026-06-11</t>
  </si>
  <si>
    <t>2026-06-12</t>
  </si>
  <si>
    <t>Delta Pharma Office, Dhaka</t>
  </si>
  <si>
    <t>DEL-002</t>
  </si>
  <si>
    <t>DEL-001</t>
  </si>
  <si>
    <t>Driver Training Program for 10 person Driver from Delta Pharma, Trainer also fixed</t>
  </si>
  <si>
    <t>Microtik IT Training Program, Proposal Sent</t>
  </si>
  <si>
    <t>BDPHR-002</t>
  </si>
  <si>
    <t>BDPHR-003</t>
  </si>
  <si>
    <t>Initial Physical Meeting on 2026-06-10</t>
  </si>
  <si>
    <t>Initial Physical Meeting on 2026-06-11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</si>
</sst>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1" x14ac:knownFonts="1">
    <font>
      <sz val="11"/>
      <color theme="1"/>
      <name val="Calibri"/>
      <family val="2"/>
      <charset val="1"/>
    </font>
    <font>
      <b/>
      <sz val="18"/>
      <color rgb="FFFFFFFF"/>
      <name val="Arial"/>
      <charset val="1"/>
    </font>
    <font>
      <b/>
      <sz val="11"/>
      <color rgb="FFFFFFFF"/>
      <name val="Arial"/>
      <charset val="1"/>
    </font>
    <font>
      <b/>
      <sz val="10"/>
      <color rgb="FFFFFFFF"/>
      <name val="Arial"/>
      <charset val="1"/>
    </font>
    <font>
      <b/>
      <sz val="32"/>
      <color rgb="FFFFFFFF"/>
      <name val="Arial"/>
      <charset val="1"/>
    </font>
    <font>
      <i/>
      <sz val="9"/>
      <color rgb="FFFFFFFF"/>
      <name val="Arial"/>
      <charset val="1"/>
    </font>
    <font>
      <b/>
      <sz val="10"/>
      <color rgb="FF1565C0"/>
      <name val="Arial"/>
      <charset val="1"/>
    </font>
    <font>
      <b/>
      <sz val="11"/>
      <color rgb="FF1565C0"/>
      <name val="Arial"/>
      <charset val="1"/>
    </font>
    <font>
      <sz val="10"/>
      <color rgb="FF1565C0"/>
      <name val="Arial"/>
      <charset val="1"/>
    </font>
    <font>
      <b/>
      <sz val="10"/>
      <color rgb="FF1565C0"/>
      <name val="Courier New"/>
      <charset val="1"/>
    </font>
    <font>
      <b/>
      <sz val="11"/>
      <color rgb="FFC62828"/>
      <name val="Arial"/>
      <charset val="1"/>
    </font>
    <font>
      <b/>
      <sz val="16"/>
      <color rgb="FFC62828"/>
      <name val="Arial"/>
      <charset val="1"/>
    </font>
    <font>
      <b/>
      <sz val="9"/>
      <color rgb="FFFFFFFF"/>
      <name val="Arial"/>
      <charset val="1"/>
    </font>
    <font>
      <sz val="9"/>
      <color rgb="FFC62828"/>
      <name val="Arial"/>
      <charset val="1"/>
    </font>
    <font>
      <b/>
      <sz val="9"/>
      <color rgb="FFE65100"/>
      <name val="Arial"/>
      <charset val="1"/>
    </font>
    <font>
      <b/>
      <sz val="10"/>
      <color rgb="FFE65100"/>
      <name val="Arial"/>
      <charset val="1"/>
    </font>
    <font>
      <b/>
      <sz val="11"/>
      <color rgb="FFE65100"/>
      <name val="Arial"/>
      <charset val="1"/>
    </font>
    <font>
      <sz val="10"/>
      <color rgb="FFE65100"/>
      <name val="Arial"/>
      <charset val="1"/>
    </font>
    <font>
      <b/>
      <sz val="10"/>
      <color rgb="FFE65100"/>
      <name val="Courier New"/>
      <charset val="1"/>
    </font>
    <font>
      <b/>
      <sz val="16"/>
      <color rgb="FFE65100"/>
      <name val="Arial"/>
      <charset val="1"/>
    </font>
    <font>
      <b/>
      <sz val="10"/>
      <color rgb="FFF9A825"/>
      <name val="Arial"/>
      <charset val="1"/>
    </font>
    <font>
      <b/>
      <sz val="11"/>
      <color rgb="FFF9A825"/>
      <name val="Arial"/>
      <charset val="1"/>
    </font>
    <font>
      <sz val="10"/>
      <color rgb="FFF9A825"/>
      <name val="Arial"/>
      <charset val="1"/>
    </font>
    <font>
      <b/>
      <sz val="10"/>
      <color rgb="FFF9A825"/>
      <name val="Courier New"/>
      <charset val="1"/>
    </font>
    <font>
      <b/>
      <sz val="16"/>
      <color rgb="FFF9A825"/>
      <name val="Arial"/>
      <charset val="1"/>
    </font>
    <font>
      <b/>
      <sz val="10"/>
      <color rgb="FF00838F"/>
      <name val="Arial"/>
      <charset val="1"/>
    </font>
    <font>
      <b/>
      <sz val="11"/>
      <color rgb="FF00838F"/>
      <name val="Arial"/>
      <charset val="1"/>
    </font>
    <font>
      <sz val="10"/>
      <color rgb="FF00838F"/>
      <name val="Arial"/>
      <charset val="1"/>
    </font>
    <font>
      <b/>
      <sz val="10"/>
      <color rgb="FF00838F"/>
      <name val="Courier New"/>
      <charset val="1"/>
    </font>
    <font>
      <b/>
      <sz val="11"/>
      <color rgb="FF2E7D32"/>
      <name val="Arial"/>
      <charset val="1"/>
    </font>
    <font>
      <b/>
      <sz val="16"/>
      <color rgb="FF2E7D32"/>
      <name val="Arial"/>
      <charset val="1"/>
    </font>
    <font>
      <b/>
      <sz val="10"/>
      <color rgb="FF4527A0"/>
      <name val="Arial"/>
      <charset val="1"/>
    </font>
    <font>
      <b/>
      <sz val="11"/>
      <color rgb="FF4527A0"/>
      <name val="Arial"/>
      <charset val="1"/>
    </font>
    <font>
      <sz val="10"/>
      <color rgb="FF4527A0"/>
      <name val="Arial"/>
      <charset val="1"/>
    </font>
    <font>
      <b/>
      <sz val="10"/>
      <color rgb="FF4527A0"/>
      <name val="Courier New"/>
      <charset val="1"/>
    </font>
    <font>
      <b/>
      <sz val="10"/>
      <color rgb="FF2E7D32"/>
      <name val="Arial"/>
      <charset val="1"/>
    </font>
    <font>
      <sz val="10"/>
      <color rgb="FF2E7D32"/>
      <name val="Arial"/>
      <charset val="1"/>
    </font>
    <font>
      <b/>
      <sz val="10"/>
      <color rgb="FF2E7D32"/>
      <name val="Courier New"/>
      <charset val="1"/>
    </font>
    <font>
      <b/>
      <sz val="10"/>
      <color rgb="FF00695C"/>
      <name val="Arial"/>
      <charset val="1"/>
    </font>
    <font>
      <b/>
      <sz val="11"/>
      <color rgb="FF00695C"/>
      <name val="Arial"/>
      <charset val="1"/>
    </font>
    <font>
      <sz val="10"/>
      <color rgb="FF00695C"/>
      <name val="Arial"/>
      <charset val="1"/>
    </font>
    <font>
      <b/>
      <sz val="10"/>
      <color rgb="FF00695C"/>
      <name val="Courier New"/>
      <charset val="1"/>
    </font>
    <font>
      <b/>
      <sz val="10"/>
      <color rgb="FF1B5E20"/>
      <name val="Arial"/>
      <charset val="1"/>
    </font>
    <font>
      <b/>
      <sz val="11"/>
      <color rgb="FF1B5E20"/>
      <name val="Arial"/>
      <charset val="1"/>
    </font>
    <font>
      <sz val="10"/>
      <color rgb="FF1B5E20"/>
      <name val="Arial"/>
      <charset val="1"/>
    </font>
    <font>
      <b/>
      <sz val="10"/>
      <color rgb="FF1B5E20"/>
      <name val="Courier New"/>
      <charset val="1"/>
    </font>
    <font>
      <b/>
      <sz val="10"/>
      <color rgb="FFC62828"/>
      <name val="Arial"/>
      <charset val="1"/>
    </font>
    <font>
      <sz val="10"/>
      <color rgb="FFC62828"/>
      <name val="Arial"/>
      <charset val="1"/>
    </font>
    <font>
      <b/>
      <sz val="10"/>
      <color rgb="FFC62828"/>
      <name val="Courier New"/>
      <charset val="1"/>
    </font>
    <font>
      <b/>
      <sz val="10"/>
      <color rgb="FF455A64"/>
      <name val="Arial"/>
      <charset val="1"/>
    </font>
    <font>
      <b/>
      <sz val="11"/>
      <color rgb="FF455A64"/>
      <name val="Arial"/>
      <charset val="1"/>
    </font>
    <font>
      <sz val="10"/>
      <color rgb="FF455A64"/>
      <name val="Arial"/>
      <charset val="1"/>
    </font>
    <font>
      <b/>
      <sz val="10"/>
      <color rgb="FF455A64"/>
      <name val="Courier New"/>
      <charset val="1"/>
    </font>
    <font>
      <b/>
      <sz val="10"/>
      <color rgb="FFB71C1C"/>
      <name val="Arial"/>
      <charset val="1"/>
    </font>
    <font>
      <b/>
      <sz val="11"/>
      <color rgb="FFB71C1C"/>
      <name val="Arial"/>
      <charset val="1"/>
    </font>
    <font>
      <sz val="10"/>
      <color rgb="FFB71C1C"/>
      <name val="Arial"/>
      <charset val="1"/>
    </font>
    <font>
      <b/>
      <sz val="10"/>
      <color rgb="FFB71C1C"/>
      <name val="Courier New"/>
      <charset val="1"/>
    </font>
    <font>
      <sz val="10"/>
      <color rgb="FF0D1B2A"/>
      <name val="Arial"/>
      <charset val="1"/>
    </font>
    <font>
      <b/>
      <sz val="12"/>
      <color rgb="FFFFFFFF"/>
      <name val="Arial"/>
      <charset val="1"/>
    </font>
    <font>
      <sz val="10"/>
      <color rgb="FF000000"/>
      <name val="Arial"/>
      <charset val="1"/>
    </font>
    <font>
      <b/>
      <sz val="16"/>
      <color rgb="FFFFFFFF"/>
      <name val="Arial"/>
      <charset val="1"/>
    </font>
    <font>
      <b/>
      <sz val="14"/>
      <color rgb="FFFFFFFF"/>
      <name val="Arial"/>
      <charset val="1"/>
    </font>
    <font>
      <sz val="10"/>
      <color rgb="FF000000"/>
      <name val="Arial"/>
      <family val="2"/>
    </font>
    <font>
      <u/>
      <sz val="11"/>
      <color theme="10"/>
      <name val="Calibri"/>
      <family val="2"/>
      <charset val="1"/>
    </font>
    <font>
      <sz val="11"/>
      <name val="Calibri"/>
      <family val="2"/>
      <charset val="1"/>
    </font>
    <font>
      <b/>
      <sz val="10"/>
      <color rgb="FF00838F"/>
      <name val="Arial"/>
      <family val="2"/>
    </font>
    <font>
      <b/>
      <sz val="10"/>
      <color rgb="FFFFFFFF"/>
      <name val="Arial"/>
      <family val="2"/>
    </font>
    <font>
      <sz val="10"/>
      <color rgb="FF0D1B2A"/>
      <name val="Arial"/>
      <family val="2"/>
    </font>
    <font>
      <b/>
      <sz val="10"/>
      <color rgb="FFF9A825"/>
      <name val="Arial"/>
      <family val="2"/>
    </font>
    <font>
      <sz val="8"/>
      <name val="Calibri"/>
      <family val="2"/>
      <charset val="1"/>
    </font>
    <font>
      <b/>
      <sz val="9"/>
      <color rgb="FFFFFFFF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rgb="FF0D1B2A"/>
        <bgColor rgb="FF000000"/>
      </patternFill>
    </fill>
    <fill>
      <patternFill patternType="solid">
        <fgColor rgb="FF1565C0"/>
        <bgColor rgb="FF007A8C"/>
      </patternFill>
    </fill>
    <fill>
      <patternFill patternType="solid">
        <fgColor rgb="FF2E7D32"/>
        <bgColor rgb="FF1B5E20"/>
      </patternFill>
    </fill>
    <fill>
      <patternFill patternType="solid">
        <fgColor rgb="FFF9A825"/>
        <bgColor rgb="FFFFCC00"/>
      </patternFill>
    </fill>
    <fill>
      <patternFill patternType="solid">
        <fgColor rgb="FFE65100"/>
        <bgColor rgb="FFC62828"/>
      </patternFill>
    </fill>
    <fill>
      <patternFill patternType="solid">
        <fgColor rgb="FF1B5E20"/>
        <bgColor rgb="FF00695C"/>
      </patternFill>
    </fill>
    <fill>
      <patternFill patternType="solid">
        <fgColor rgb="FF00838F"/>
        <bgColor rgb="FF007A8C"/>
      </patternFill>
    </fill>
    <fill>
      <patternFill patternType="solid">
        <fgColor rgb="FF4527A0"/>
        <bgColor rgb="FF311B92"/>
      </patternFill>
    </fill>
    <fill>
      <patternFill patternType="solid">
        <fgColor rgb="FFC62828"/>
        <bgColor rgb="FFB71C1C"/>
      </patternFill>
    </fill>
    <fill>
      <patternFill patternType="solid">
        <fgColor rgb="FFE3F2FD"/>
        <bgColor rgb="FFE0F7FA"/>
      </patternFill>
    </fill>
    <fill>
      <patternFill patternType="solid">
        <fgColor rgb="FFFFCDD2"/>
        <bgColor rgb="FFFFEBEE"/>
      </patternFill>
    </fill>
    <fill>
      <patternFill patternType="solid">
        <fgColor rgb="FFFFEBEE"/>
        <bgColor rgb="FFFFF3E0"/>
      </patternFill>
    </fill>
    <fill>
      <patternFill patternType="solid">
        <fgColor rgb="FFFFF3E0"/>
        <bgColor rgb="FFFFEBEE"/>
      </patternFill>
    </fill>
    <fill>
      <patternFill patternType="solid">
        <fgColor rgb="FFFFFFFF"/>
        <bgColor rgb="FFF8FAFF"/>
      </patternFill>
    </fill>
    <fill>
      <patternFill patternType="solid">
        <fgColor rgb="FFFFF9C4"/>
        <bgColor rgb="FFFFF3E0"/>
      </patternFill>
    </fill>
    <fill>
      <patternFill patternType="solid">
        <fgColor rgb="FFE0F7FA"/>
        <bgColor rgb="FFE3F2FD"/>
      </patternFill>
    </fill>
    <fill>
      <patternFill patternType="solid">
        <fgColor rgb="FFE8F5E9"/>
        <bgColor rgb="FFE0F2F1"/>
      </patternFill>
    </fill>
    <fill>
      <patternFill patternType="solid">
        <fgColor rgb="FFEDE7F6"/>
        <bgColor rgb="FFECEFF1"/>
      </patternFill>
    </fill>
    <fill>
      <patternFill patternType="solid">
        <fgColor rgb="FFE0F2F1"/>
        <bgColor rgb="FFE3F2FD"/>
      </patternFill>
    </fill>
    <fill>
      <patternFill patternType="solid">
        <fgColor rgb="FFBBDEFB"/>
        <bgColor rgb="FFC8E6C9"/>
      </patternFill>
    </fill>
    <fill>
      <patternFill patternType="solid">
        <fgColor rgb="FFC8E6C9"/>
        <bgColor rgb="FFBBDEFB"/>
      </patternFill>
    </fill>
    <fill>
      <patternFill patternType="solid">
        <fgColor rgb="FFECEFF1"/>
        <bgColor rgb="FFE8F5E9"/>
      </patternFill>
    </fill>
    <fill>
      <patternFill patternType="solid">
        <fgColor rgb="FF455A64"/>
        <bgColor rgb="FF1B5E20"/>
      </patternFill>
    </fill>
    <fill>
      <patternFill patternType="solid">
        <fgColor rgb="FFF8FAFF"/>
        <bgColor rgb="FFFFFFFF"/>
      </patternFill>
    </fill>
    <fill>
      <patternFill patternType="solid">
        <fgColor rgb="FF007A8C"/>
        <bgColor rgb="FF00838F"/>
      </patternFill>
    </fill>
    <fill>
      <patternFill patternType="solid">
        <fgColor rgb="FF311B92"/>
        <bgColor rgb="FF4527A0"/>
      </patternFill>
    </fill>
  </fills>
  <borders count="3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  <border>
      <left style="thin">
        <color rgb="FFB0BEC5"/>
      </left>
      <right/>
      <top style="thin">
        <color rgb="FFB0BEC5"/>
      </top>
      <bottom style="thin">
        <color rgb="FFB0BEC5"/>
      </bottom>
      <diagonal/>
    </border>
  </borders>
  <cellStyleXfs count="2">
    <xf numFmtId="0" fontId="0" fillId="0" borderId="0"/>
    <xf numFmtId="0" fontId="63" fillId="0" borderId="0" applyNumberFormat="0" applyFill="0" applyBorder="0" applyAlignment="0" applyProtection="0"/>
  </cellStyleXfs>
  <cellXfs count="137">
    <xf numFmtId="0" fontId="0" fillId="0" borderId="0" xfId="0"/>
    <xf numFmtId="0" fontId="4" fillId="8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left" vertical="center"/>
    </xf>
    <xf numFmtId="0" fontId="7" fillId="11" borderId="1" xfId="0" applyFont="1" applyFill="1" applyBorder="1" applyAlignment="1">
      <alignment horizontal="center" vertical="center"/>
    </xf>
    <xf numFmtId="9" fontId="8" fillId="11" borderId="1" xfId="0" applyNumberFormat="1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left" vertical="center"/>
    </xf>
    <xf numFmtId="0" fontId="12" fillId="10" borderId="1" xfId="0" applyFont="1" applyFill="1" applyBorder="1" applyAlignment="1">
      <alignment horizontal="center" vertical="center"/>
    </xf>
    <xf numFmtId="0" fontId="13" fillId="13" borderId="1" xfId="0" applyFont="1" applyFill="1" applyBorder="1" applyAlignment="1">
      <alignment horizontal="left" vertical="center" wrapText="1"/>
    </xf>
    <xf numFmtId="0" fontId="14" fillId="13" borderId="1" xfId="0" applyFont="1" applyFill="1" applyBorder="1" applyAlignment="1">
      <alignment horizontal="center" vertical="center"/>
    </xf>
    <xf numFmtId="0" fontId="15" fillId="14" borderId="1" xfId="0" applyFont="1" applyFill="1" applyBorder="1" applyAlignment="1">
      <alignment horizontal="left" vertical="center"/>
    </xf>
    <xf numFmtId="0" fontId="16" fillId="14" borderId="1" xfId="0" applyFont="1" applyFill="1" applyBorder="1" applyAlignment="1">
      <alignment horizontal="center" vertical="center"/>
    </xf>
    <xf numFmtId="9" fontId="17" fillId="14" borderId="1" xfId="0" applyNumberFormat="1" applyFont="1" applyFill="1" applyBorder="1" applyAlignment="1">
      <alignment horizontal="center" vertical="center"/>
    </xf>
    <xf numFmtId="0" fontId="18" fillId="14" borderId="1" xfId="0" applyFont="1" applyFill="1" applyBorder="1" applyAlignment="1">
      <alignment horizontal="left" vertical="center"/>
    </xf>
    <xf numFmtId="0" fontId="13" fillId="15" borderId="1" xfId="0" applyFont="1" applyFill="1" applyBorder="1" applyAlignment="1">
      <alignment horizontal="left" vertical="center" wrapText="1"/>
    </xf>
    <xf numFmtId="0" fontId="14" fillId="15" borderId="1" xfId="0" applyFont="1" applyFill="1" applyBorder="1" applyAlignment="1">
      <alignment horizontal="center" vertical="center"/>
    </xf>
    <xf numFmtId="0" fontId="20" fillId="16" borderId="1" xfId="0" applyFont="1" applyFill="1" applyBorder="1" applyAlignment="1">
      <alignment horizontal="left" vertical="center"/>
    </xf>
    <xf numFmtId="0" fontId="21" fillId="16" borderId="1" xfId="0" applyFont="1" applyFill="1" applyBorder="1" applyAlignment="1">
      <alignment horizontal="center" vertical="center"/>
    </xf>
    <xf numFmtId="9" fontId="22" fillId="16" borderId="1" xfId="0" applyNumberFormat="1" applyFont="1" applyFill="1" applyBorder="1" applyAlignment="1">
      <alignment horizontal="center" vertical="center"/>
    </xf>
    <xf numFmtId="0" fontId="23" fillId="16" borderId="1" xfId="0" applyFont="1" applyFill="1" applyBorder="1" applyAlignment="1">
      <alignment horizontal="left" vertical="center"/>
    </xf>
    <xf numFmtId="0" fontId="25" fillId="17" borderId="1" xfId="0" applyFont="1" applyFill="1" applyBorder="1" applyAlignment="1">
      <alignment horizontal="left" vertical="center"/>
    </xf>
    <xf numFmtId="0" fontId="26" fillId="17" borderId="1" xfId="0" applyFont="1" applyFill="1" applyBorder="1" applyAlignment="1">
      <alignment horizontal="center" vertical="center"/>
    </xf>
    <xf numFmtId="9" fontId="27" fillId="17" borderId="1" xfId="0" applyNumberFormat="1" applyFont="1" applyFill="1" applyBorder="1" applyAlignment="1">
      <alignment horizontal="center" vertical="center"/>
    </xf>
    <xf numFmtId="0" fontId="28" fillId="17" borderId="1" xfId="0" applyFont="1" applyFill="1" applyBorder="1" applyAlignment="1">
      <alignment horizontal="left" vertical="center"/>
    </xf>
    <xf numFmtId="0" fontId="29" fillId="18" borderId="1" xfId="0" applyFont="1" applyFill="1" applyBorder="1" applyAlignment="1">
      <alignment horizontal="center" vertical="center"/>
    </xf>
    <xf numFmtId="0" fontId="31" fillId="19" borderId="1" xfId="0" applyFont="1" applyFill="1" applyBorder="1" applyAlignment="1">
      <alignment horizontal="left" vertical="center"/>
    </xf>
    <xf numFmtId="0" fontId="32" fillId="19" borderId="1" xfId="0" applyFont="1" applyFill="1" applyBorder="1" applyAlignment="1">
      <alignment horizontal="center" vertical="center"/>
    </xf>
    <xf numFmtId="9" fontId="33" fillId="19" borderId="1" xfId="0" applyNumberFormat="1" applyFont="1" applyFill="1" applyBorder="1" applyAlignment="1">
      <alignment horizontal="center" vertical="center"/>
    </xf>
    <xf numFmtId="0" fontId="34" fillId="19" borderId="1" xfId="0" applyFont="1" applyFill="1" applyBorder="1" applyAlignment="1">
      <alignment horizontal="left" vertical="center"/>
    </xf>
    <xf numFmtId="0" fontId="35" fillId="18" borderId="1" xfId="0" applyFont="1" applyFill="1" applyBorder="1" applyAlignment="1">
      <alignment horizontal="left" vertical="center"/>
    </xf>
    <xf numFmtId="9" fontId="36" fillId="18" borderId="1" xfId="0" applyNumberFormat="1" applyFont="1" applyFill="1" applyBorder="1" applyAlignment="1">
      <alignment horizontal="center" vertical="center"/>
    </xf>
    <xf numFmtId="0" fontId="37" fillId="18" borderId="1" xfId="0" applyFont="1" applyFill="1" applyBorder="1" applyAlignment="1">
      <alignment horizontal="left" vertical="center"/>
    </xf>
    <xf numFmtId="0" fontId="38" fillId="20" borderId="1" xfId="0" applyFont="1" applyFill="1" applyBorder="1" applyAlignment="1">
      <alignment horizontal="left" vertical="center"/>
    </xf>
    <xf numFmtId="0" fontId="39" fillId="20" borderId="1" xfId="0" applyFont="1" applyFill="1" applyBorder="1" applyAlignment="1">
      <alignment horizontal="center" vertical="center"/>
    </xf>
    <xf numFmtId="9" fontId="40" fillId="20" borderId="1" xfId="0" applyNumberFormat="1" applyFont="1" applyFill="1" applyBorder="1" applyAlignment="1">
      <alignment horizontal="center" vertical="center"/>
    </xf>
    <xf numFmtId="0" fontId="41" fillId="20" borderId="1" xfId="0" applyFont="1" applyFill="1" applyBorder="1" applyAlignment="1">
      <alignment horizontal="left" vertical="center"/>
    </xf>
    <xf numFmtId="0" fontId="6" fillId="21" borderId="1" xfId="0" applyFont="1" applyFill="1" applyBorder="1" applyAlignment="1">
      <alignment horizontal="left" vertical="center"/>
    </xf>
    <xf numFmtId="0" fontId="7" fillId="21" borderId="1" xfId="0" applyFont="1" applyFill="1" applyBorder="1" applyAlignment="1">
      <alignment horizontal="center" vertical="center"/>
    </xf>
    <xf numFmtId="9" fontId="8" fillId="21" borderId="1" xfId="0" applyNumberFormat="1" applyFont="1" applyFill="1" applyBorder="1" applyAlignment="1">
      <alignment horizontal="center" vertical="center"/>
    </xf>
    <xf numFmtId="0" fontId="9" fillId="21" borderId="1" xfId="0" applyFont="1" applyFill="1" applyBorder="1" applyAlignment="1">
      <alignment horizontal="left" vertical="center"/>
    </xf>
    <xf numFmtId="0" fontId="42" fillId="22" borderId="1" xfId="0" applyFont="1" applyFill="1" applyBorder="1" applyAlignment="1">
      <alignment horizontal="left" vertical="center"/>
    </xf>
    <xf numFmtId="0" fontId="43" fillId="22" borderId="1" xfId="0" applyFont="1" applyFill="1" applyBorder="1" applyAlignment="1">
      <alignment horizontal="center" vertical="center"/>
    </xf>
    <xf numFmtId="9" fontId="44" fillId="22" borderId="1" xfId="0" applyNumberFormat="1" applyFont="1" applyFill="1" applyBorder="1" applyAlignment="1">
      <alignment horizontal="center" vertical="center"/>
    </xf>
    <xf numFmtId="0" fontId="45" fillId="22" borderId="1" xfId="0" applyFont="1" applyFill="1" applyBorder="1" applyAlignment="1">
      <alignment horizontal="left" vertical="center"/>
    </xf>
    <xf numFmtId="0" fontId="46" fillId="13" borderId="1" xfId="0" applyFont="1" applyFill="1" applyBorder="1" applyAlignment="1">
      <alignment horizontal="left" vertical="center"/>
    </xf>
    <xf numFmtId="0" fontId="10" fillId="13" borderId="1" xfId="0" applyFont="1" applyFill="1" applyBorder="1" applyAlignment="1">
      <alignment horizontal="center" vertical="center"/>
    </xf>
    <xf numFmtId="9" fontId="47" fillId="13" borderId="1" xfId="0" applyNumberFormat="1" applyFont="1" applyFill="1" applyBorder="1" applyAlignment="1">
      <alignment horizontal="center" vertical="center"/>
    </xf>
    <xf numFmtId="0" fontId="48" fillId="13" borderId="1" xfId="0" applyFont="1" applyFill="1" applyBorder="1" applyAlignment="1">
      <alignment horizontal="left" vertical="center"/>
    </xf>
    <xf numFmtId="0" fontId="49" fillId="23" borderId="1" xfId="0" applyFont="1" applyFill="1" applyBorder="1" applyAlignment="1">
      <alignment horizontal="left" vertical="center"/>
    </xf>
    <xf numFmtId="0" fontId="50" fillId="23" borderId="1" xfId="0" applyFont="1" applyFill="1" applyBorder="1" applyAlignment="1">
      <alignment horizontal="center" vertical="center"/>
    </xf>
    <xf numFmtId="9" fontId="51" fillId="23" borderId="1" xfId="0" applyNumberFormat="1" applyFont="1" applyFill="1" applyBorder="1" applyAlignment="1">
      <alignment horizontal="center" vertical="center"/>
    </xf>
    <xf numFmtId="0" fontId="52" fillId="23" borderId="1" xfId="0" applyFont="1" applyFill="1" applyBorder="1" applyAlignment="1">
      <alignment horizontal="left" vertical="center"/>
    </xf>
    <xf numFmtId="0" fontId="53" fillId="12" borderId="1" xfId="0" applyFont="1" applyFill="1" applyBorder="1" applyAlignment="1">
      <alignment horizontal="left" vertical="center"/>
    </xf>
    <xf numFmtId="0" fontId="54" fillId="12" borderId="1" xfId="0" applyFont="1" applyFill="1" applyBorder="1" applyAlignment="1">
      <alignment horizontal="center" vertical="center"/>
    </xf>
    <xf numFmtId="9" fontId="55" fillId="12" borderId="1" xfId="0" applyNumberFormat="1" applyFont="1" applyFill="1" applyBorder="1" applyAlignment="1">
      <alignment horizontal="center" vertical="center"/>
    </xf>
    <xf numFmtId="0" fontId="56" fillId="12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center" vertical="center"/>
    </xf>
    <xf numFmtId="0" fontId="25" fillId="11" borderId="1" xfId="0" applyFont="1" applyFill="1" applyBorder="1" applyAlignment="1">
      <alignment horizontal="left" vertical="center"/>
    </xf>
    <xf numFmtId="0" fontId="57" fillId="11" borderId="1" xfId="0" applyFont="1" applyFill="1" applyBorder="1" applyAlignment="1">
      <alignment horizontal="center" vertical="center"/>
    </xf>
    <xf numFmtId="0" fontId="25" fillId="15" borderId="1" xfId="0" applyFont="1" applyFill="1" applyBorder="1" applyAlignment="1">
      <alignment horizontal="left" vertical="center"/>
    </xf>
    <xf numFmtId="0" fontId="57" fillId="15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59" fillId="15" borderId="0" xfId="0" applyFont="1" applyFill="1"/>
    <xf numFmtId="0" fontId="59" fillId="25" borderId="0" xfId="0" applyFont="1" applyFill="1"/>
    <xf numFmtId="0" fontId="20" fillId="2" borderId="1" xfId="0" applyFont="1" applyFill="1" applyBorder="1" applyAlignment="1">
      <alignment horizontal="center" vertical="center"/>
    </xf>
    <xf numFmtId="0" fontId="59" fillId="25" borderId="1" xfId="0" applyFont="1" applyFill="1" applyBorder="1" applyAlignment="1">
      <alignment horizontal="left" vertical="center" wrapText="1"/>
    </xf>
    <xf numFmtId="0" fontId="15" fillId="14" borderId="1" xfId="0" applyFont="1" applyFill="1" applyBorder="1" applyAlignment="1">
      <alignment horizontal="center" vertical="center"/>
    </xf>
    <xf numFmtId="0" fontId="20" fillId="16" borderId="1" xfId="0" applyFont="1" applyFill="1" applyBorder="1" applyAlignment="1">
      <alignment horizontal="center" vertical="center"/>
    </xf>
    <xf numFmtId="0" fontId="59" fillId="15" borderId="1" xfId="0" applyFont="1" applyFill="1" applyBorder="1" applyAlignment="1">
      <alignment horizontal="left" vertical="center" wrapText="1"/>
    </xf>
    <xf numFmtId="0" fontId="46" fillId="12" borderId="1" xfId="0" applyFont="1" applyFill="1" applyBorder="1" applyAlignment="1">
      <alignment horizontal="center" vertical="center"/>
    </xf>
    <xf numFmtId="0" fontId="35" fillId="18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49" fillId="23" borderId="1" xfId="0" applyFont="1" applyFill="1" applyBorder="1" applyAlignment="1">
      <alignment horizontal="center" vertical="center"/>
    </xf>
    <xf numFmtId="0" fontId="59" fillId="25" borderId="1" xfId="0" applyFont="1" applyFill="1" applyBorder="1" applyAlignment="1">
      <alignment horizontal="left" vertical="center"/>
    </xf>
    <xf numFmtId="0" fontId="42" fillId="22" borderId="1" xfId="0" applyFont="1" applyFill="1" applyBorder="1" applyAlignment="1">
      <alignment horizontal="center" vertical="center"/>
    </xf>
    <xf numFmtId="0" fontId="59" fillId="15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center" vertical="center"/>
    </xf>
    <xf numFmtId="0" fontId="11" fillId="12" borderId="1" xfId="0" applyFont="1" applyFill="1" applyBorder="1" applyAlignment="1">
      <alignment horizontal="center" vertical="center"/>
    </xf>
    <xf numFmtId="0" fontId="16" fillId="14" borderId="1" xfId="0" applyFont="1" applyFill="1" applyBorder="1" applyAlignment="1">
      <alignment horizontal="center" vertical="center"/>
    </xf>
    <xf numFmtId="0" fontId="19" fillId="14" borderId="1" xfId="0" applyFont="1" applyFill="1" applyBorder="1" applyAlignment="1">
      <alignment horizontal="center" vertical="center"/>
    </xf>
    <xf numFmtId="0" fontId="21" fillId="16" borderId="1" xfId="0" applyFont="1" applyFill="1" applyBorder="1" applyAlignment="1">
      <alignment horizontal="center" vertical="center"/>
    </xf>
    <xf numFmtId="0" fontId="24" fillId="16" borderId="1" xfId="0" applyFont="1" applyFill="1" applyBorder="1" applyAlignment="1">
      <alignment horizontal="center" vertical="center"/>
    </xf>
    <xf numFmtId="0" fontId="29" fillId="18" borderId="1" xfId="0" applyFont="1" applyFill="1" applyBorder="1" applyAlignment="1">
      <alignment horizontal="center" vertical="center"/>
    </xf>
    <xf numFmtId="0" fontId="30" fillId="18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24" borderId="1" xfId="0" applyFont="1" applyFill="1" applyBorder="1" applyAlignment="1">
      <alignment horizontal="center" vertical="center"/>
    </xf>
    <xf numFmtId="0" fontId="51" fillId="23" borderId="2" xfId="0" applyFont="1" applyFill="1" applyBorder="1" applyAlignment="1">
      <alignment horizontal="left" vertical="center"/>
    </xf>
    <xf numFmtId="0" fontId="51" fillId="15" borderId="2" xfId="0" applyFont="1" applyFill="1" applyBorder="1" applyAlignment="1">
      <alignment horizontal="left" vertical="center"/>
    </xf>
    <xf numFmtId="0" fontId="58" fillId="2" borderId="0" xfId="0" applyFont="1" applyFill="1" applyAlignment="1">
      <alignment horizontal="center" vertical="center"/>
    </xf>
    <xf numFmtId="0" fontId="60" fillId="2" borderId="1" xfId="0" applyFont="1" applyFill="1" applyBorder="1" applyAlignment="1">
      <alignment horizontal="center" vertical="center"/>
    </xf>
    <xf numFmtId="0" fontId="61" fillId="8" borderId="1" xfId="0" applyFont="1" applyFill="1" applyBorder="1" applyAlignment="1">
      <alignment horizontal="center" vertical="center"/>
    </xf>
    <xf numFmtId="0" fontId="3" fillId="26" borderId="1" xfId="0" applyFont="1" applyFill="1" applyBorder="1" applyAlignment="1">
      <alignment horizontal="center" vertical="center"/>
    </xf>
    <xf numFmtId="0" fontId="61" fillId="9" borderId="1" xfId="0" applyFont="1" applyFill="1" applyBorder="1" applyAlignment="1">
      <alignment horizontal="center" vertical="center"/>
    </xf>
    <xf numFmtId="0" fontId="3" fillId="27" borderId="1" xfId="0" applyFont="1" applyFill="1" applyBorder="1" applyAlignment="1">
      <alignment horizontal="center" vertical="center"/>
    </xf>
    <xf numFmtId="0" fontId="57" fillId="15" borderId="0" xfId="0" applyFont="1" applyFill="1" applyBorder="1" applyAlignment="1">
      <alignment horizontal="center" vertical="center"/>
    </xf>
    <xf numFmtId="1" fontId="59" fillId="15" borderId="1" xfId="0" applyNumberFormat="1" applyFont="1" applyFill="1" applyBorder="1" applyAlignment="1">
      <alignment horizontal="left" vertical="center"/>
    </xf>
    <xf numFmtId="0" fontId="62" fillId="15" borderId="1" xfId="0" applyFont="1" applyFill="1" applyBorder="1" applyAlignment="1">
      <alignment horizontal="left" vertical="center"/>
    </xf>
    <xf numFmtId="0" fontId="62" fillId="25" borderId="1" xfId="0" applyFont="1" applyFill="1" applyBorder="1" applyAlignment="1">
      <alignment horizontal="left" vertical="center"/>
    </xf>
    <xf numFmtId="0" fontId="64" fillId="15" borderId="1" xfId="1" applyFont="1" applyFill="1" applyBorder="1" applyAlignment="1">
      <alignment horizontal="left" vertical="center"/>
    </xf>
    <xf numFmtId="14" fontId="59" fillId="15" borderId="1" xfId="0" applyNumberFormat="1" applyFont="1" applyFill="1" applyBorder="1" applyAlignment="1">
      <alignment horizontal="left" vertical="center" wrapText="1"/>
    </xf>
    <xf numFmtId="0" fontId="65" fillId="11" borderId="1" xfId="0" applyFont="1" applyFill="1" applyBorder="1" applyAlignment="1">
      <alignment horizontal="left" vertical="center"/>
    </xf>
    <xf numFmtId="0" fontId="65" fillId="15" borderId="1" xfId="0" applyFont="1" applyFill="1" applyBorder="1" applyAlignment="1">
      <alignment horizontal="left" vertical="center"/>
    </xf>
    <xf numFmtId="0" fontId="65" fillId="15" borderId="0" xfId="0" applyFont="1" applyFill="1" applyBorder="1" applyAlignment="1">
      <alignment horizontal="left" vertical="center"/>
    </xf>
    <xf numFmtId="0" fontId="62" fillId="25" borderId="1" xfId="0" applyFont="1" applyFill="1" applyBorder="1" applyAlignment="1">
      <alignment horizontal="left" vertical="center" wrapText="1"/>
    </xf>
    <xf numFmtId="14" fontId="59" fillId="25" borderId="1" xfId="0" applyNumberFormat="1" applyFont="1" applyFill="1" applyBorder="1" applyAlignment="1">
      <alignment horizontal="left" vertical="center" wrapText="1"/>
    </xf>
    <xf numFmtId="0" fontId="62" fillId="15" borderId="1" xfId="0" applyFont="1" applyFill="1" applyBorder="1" applyAlignment="1">
      <alignment horizontal="left" vertical="center" wrapText="1"/>
    </xf>
    <xf numFmtId="0" fontId="66" fillId="8" borderId="1" xfId="0" applyFont="1" applyFill="1" applyBorder="1" applyAlignment="1">
      <alignment horizontal="center" vertical="center"/>
    </xf>
    <xf numFmtId="0" fontId="67" fillId="15" borderId="1" xfId="0" applyFont="1" applyFill="1" applyBorder="1" applyAlignment="1">
      <alignment horizontal="center" vertical="center"/>
    </xf>
    <xf numFmtId="0" fontId="68" fillId="2" borderId="1" xfId="0" applyFont="1" applyFill="1" applyBorder="1" applyAlignment="1">
      <alignment horizontal="center" vertical="center"/>
    </xf>
    <xf numFmtId="0" fontId="70" fillId="10" borderId="1" xfId="0" applyFont="1" applyFill="1" applyBorder="1" applyAlignment="1">
      <alignment horizontal="center" vertical="center"/>
    </xf>
    <xf numFmtId="14" fontId="14" fillId="13" borderId="1" xfId="0" applyNumberFormat="1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E8F5E9"/>
      <rgbColor rgb="FFFF00FF"/>
      <rgbColor rgb="FF00FFFF"/>
      <rgbColor rgb="FF800000"/>
      <rgbColor rgb="FF1B5E20"/>
      <rgbColor rgb="FF311B92"/>
      <rgbColor rgb="FF808000"/>
      <rgbColor rgb="FF800080"/>
      <rgbColor rgb="FF00838F"/>
      <rgbColor rgb="FFB0BEC5"/>
      <rgbColor rgb="FF808080"/>
      <rgbColor rgb="FFF8FAFF"/>
      <rgbColor rgb="FFC62828"/>
      <rgbColor rgb="FFFFF9C4"/>
      <rgbColor rgb="FFE0F7FA"/>
      <rgbColor rgb="FF660066"/>
      <rgbColor rgb="FFFF8080"/>
      <rgbColor rgb="FF1565C0"/>
      <rgbColor rgb="FFBBDEFB"/>
      <rgbColor rgb="FF000080"/>
      <rgbColor rgb="FFFF00FF"/>
      <rgbColor rgb="FFFFEBEE"/>
      <rgbColor rgb="FF00FFFF"/>
      <rgbColor rgb="FF800080"/>
      <rgbColor rgb="FF800000"/>
      <rgbColor rgb="FF007A8C"/>
      <rgbColor rgb="FF0000FF"/>
      <rgbColor rgb="FF00CCFF"/>
      <rgbColor rgb="FFE0F2F1"/>
      <rgbColor rgb="FFC8E6C9"/>
      <rgbColor rgb="FFFFF3E0"/>
      <rgbColor rgb="FFE3F2FD"/>
      <rgbColor rgb="FFEDE7F6"/>
      <rgbColor rgb="FFECEFF1"/>
      <rgbColor rgb="FFFFCDD2"/>
      <rgbColor rgb="FF3366FF"/>
      <rgbColor rgb="FF33CCCC"/>
      <rgbColor rgb="FF99CC00"/>
      <rgbColor rgb="FFFFCC00"/>
      <rgbColor rgb="FFF9A825"/>
      <rgbColor rgb="FFE65100"/>
      <rgbColor rgb="FF455A64"/>
      <rgbColor rgb="FF969696"/>
      <rgbColor rgb="FF00695C"/>
      <rgbColor rgb="FF2E7D32"/>
      <rgbColor rgb="FF0D1B2A"/>
      <rgbColor rgb="FF333300"/>
      <rgbColor rgb="FFB71C1C"/>
      <rgbColor rgb="FF993366"/>
      <rgbColor rgb="FF4527A0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87A5307-DEF2-45C8-B718-50F74CCBBB85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f3f2a4c5-519a-4f06-9166-d4bdaf7332a1&quot;"/>
  </we:properties>
  <we:bindings/>
  <we:snapshot xmlns:r="http://schemas.openxmlformats.org/officeDocument/2006/relationships"/>
</we:webextension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saiful.hrd@aristopharm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D1B2A"/>
  </sheetPr>
  <dimension ref="A1:N44"/>
  <sheetViews>
    <sheetView showGridLines="0" tabSelected="1" zoomScaleNormal="100" workbookViewId="0">
      <selection activeCell="H12" sqref="H12:I12"/>
    </sheetView>
  </sheetViews>
  <sheetFormatPr defaultColWidth="8.7109375" defaultRowHeight="15" x14ac:dyDescent="0.25"/>
  <cols>
    <col min="1" max="1" width="24" customWidth="1"/>
    <col min="2" max="2" width="22.42578125" customWidth="1"/>
    <col min="3" max="5" width="10" customWidth="1"/>
    <col min="6" max="6" width="21.85546875" customWidth="1"/>
    <col min="7" max="7" width="18" customWidth="1"/>
    <col min="8" max="8" width="20" customWidth="1"/>
    <col min="9" max="12" width="18" customWidth="1"/>
    <col min="13" max="13" width="28.7109375" bestFit="1" customWidth="1"/>
    <col min="14" max="14" width="18" customWidth="1"/>
  </cols>
  <sheetData>
    <row r="1" spans="1:14" ht="48" customHeight="1" x14ac:dyDescent="0.2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spans="1:14" ht="21.75" customHeight="1" x14ac:dyDescent="0.25">
      <c r="A2" s="13" t="s">
        <v>306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1:14" ht="18" customHeight="1" x14ac:dyDescent="0.25"/>
    <row r="4" spans="1:14" ht="21.75" customHeight="1" x14ac:dyDescent="0.25">
      <c r="B4" s="12" t="s">
        <v>1</v>
      </c>
      <c r="C4" s="12"/>
      <c r="D4" s="11" t="s">
        <v>2</v>
      </c>
      <c r="E4" s="11"/>
      <c r="F4" s="10" t="s">
        <v>3</v>
      </c>
      <c r="G4" s="10"/>
      <c r="H4" s="9" t="s">
        <v>4</v>
      </c>
      <c r="I4" s="9"/>
      <c r="J4" s="8" t="s">
        <v>5</v>
      </c>
      <c r="K4" s="8"/>
      <c r="L4" s="7" t="s">
        <v>6</v>
      </c>
      <c r="M4" s="7"/>
    </row>
    <row r="5" spans="1:14" ht="42" customHeight="1" x14ac:dyDescent="0.25">
      <c r="B5" s="6">
        <f>COUNTA(TRACKER!B4:B200)</f>
        <v>14</v>
      </c>
      <c r="C5" s="6"/>
      <c r="D5" s="5">
        <f>COUNTIF(TRACKER!G4:G200,"Confirmed")+COUNTIF(TRACKER!G4:G200,"Training Scheduled")+COUNTIF(TRACKER!G4:G200,"Training Ongoing")</f>
        <v>1</v>
      </c>
      <c r="E5" s="5"/>
      <c r="F5" s="4">
        <f>COUNTIF(TRACKER!G4:G200,"Proposal Sent")</f>
        <v>4</v>
      </c>
      <c r="G5" s="4"/>
      <c r="H5" s="3">
        <f>COUNTIF(TRACKER!G4:G200,"Pending Proposal")+COUNTIF(TRACKER!G4:G200,"Follow-Up Required")</f>
        <v>7</v>
      </c>
      <c r="I5" s="3"/>
      <c r="J5" s="2">
        <f>COUNTIF(TRACKER!G4:G200,"Training Completed")</f>
        <v>0</v>
      </c>
      <c r="K5" s="2"/>
      <c r="L5" s="1">
        <f>COUNTA(COMPANIES!B4:B13)-COUNTIF(COMPANIES!B4:B13,"")-COUNTBLANK(COMPANIES!C4:C13)</f>
        <v>9</v>
      </c>
      <c r="M5" s="1"/>
    </row>
    <row r="6" spans="1:14" ht="25.5" customHeight="1" x14ac:dyDescent="0.25">
      <c r="B6" s="93" t="s">
        <v>7</v>
      </c>
      <c r="C6" s="93"/>
      <c r="D6" s="94" t="s">
        <v>7</v>
      </c>
      <c r="E6" s="94"/>
      <c r="F6" s="95" t="s">
        <v>7</v>
      </c>
      <c r="G6" s="95"/>
      <c r="H6" s="96" t="s">
        <v>7</v>
      </c>
      <c r="I6" s="96"/>
      <c r="J6" s="97" t="s">
        <v>7</v>
      </c>
      <c r="K6" s="97"/>
      <c r="L6" s="98" t="s">
        <v>8</v>
      </c>
      <c r="M6" s="98"/>
    </row>
    <row r="9" spans="1:14" ht="25.5" customHeight="1" x14ac:dyDescent="0.25">
      <c r="B9" s="99" t="s">
        <v>9</v>
      </c>
      <c r="C9" s="99"/>
      <c r="D9" s="99"/>
      <c r="E9" s="99"/>
      <c r="F9" s="99"/>
      <c r="G9" s="99"/>
      <c r="H9" s="100" t="s">
        <v>10</v>
      </c>
      <c r="I9" s="100"/>
      <c r="J9" s="100"/>
      <c r="K9" s="100"/>
      <c r="L9" s="101" t="s">
        <v>11</v>
      </c>
      <c r="M9" s="101"/>
      <c r="N9" s="101"/>
    </row>
    <row r="10" spans="1:14" ht="15" customHeight="1" x14ac:dyDescent="0.25">
      <c r="A10" s="18" t="s">
        <v>12</v>
      </c>
      <c r="B10" s="18" t="s">
        <v>13</v>
      </c>
      <c r="C10" s="18" t="s">
        <v>14</v>
      </c>
      <c r="D10" s="19"/>
    </row>
    <row r="11" spans="1:14" ht="27.75" customHeight="1" x14ac:dyDescent="0.25">
      <c r="B11" s="20" t="s">
        <v>15</v>
      </c>
      <c r="C11" s="21">
        <f>COUNTIF(TRACKER!G4:G200,"Active")</f>
        <v>3</v>
      </c>
      <c r="D11" s="22">
        <f>IFERROR(C11/SUM(C11:C22),0)</f>
        <v>0.1875</v>
      </c>
      <c r="E11" s="23" t="str">
        <f>IFERROR(REPT("█",ROUND(C11/MAX(C11:C22)*20,0))&amp;" "&amp;C11,"")</f>
        <v>██████████ 3</v>
      </c>
      <c r="H11" s="102" t="s">
        <v>16</v>
      </c>
      <c r="I11" s="102"/>
      <c r="J11" s="103">
        <f>COUNTIF(TRACKER!F4:F200,"Critical")</f>
        <v>0</v>
      </c>
      <c r="K11" s="103"/>
      <c r="L11" s="24" t="s">
        <v>17</v>
      </c>
      <c r="M11" s="25" t="s">
        <v>18</v>
      </c>
      <c r="N11" s="26" t="s">
        <v>19</v>
      </c>
    </row>
    <row r="12" spans="1:14" ht="27.75" customHeight="1" x14ac:dyDescent="0.25">
      <c r="B12" s="27" t="s">
        <v>20</v>
      </c>
      <c r="C12" s="28">
        <f>COUNTIF(TRACKER!G4:G200,"Pending Proposal")</f>
        <v>6</v>
      </c>
      <c r="D12" s="29">
        <f>IFERROR(C12/SUM(C11:C22),0)</f>
        <v>0.375</v>
      </c>
      <c r="E12" s="30" t="str">
        <f>IFERROR(REPT("█",ROUND(C12/MAX(C11:C22)*20,0))&amp;" "&amp;C12,"")</f>
        <v>████████████████████ 6</v>
      </c>
      <c r="H12" s="104" t="s">
        <v>21</v>
      </c>
      <c r="I12" s="104"/>
      <c r="J12" s="105">
        <f>COUNTIF(TRACKER!F4:F200,"High")</f>
        <v>3</v>
      </c>
      <c r="K12" s="105"/>
      <c r="L12" s="24" t="s">
        <v>22</v>
      </c>
      <c r="M12" s="31" t="s">
        <v>23</v>
      </c>
      <c r="N12" s="32" t="s">
        <v>24</v>
      </c>
    </row>
    <row r="13" spans="1:14" ht="27.75" customHeight="1" x14ac:dyDescent="0.25">
      <c r="B13" s="33" t="s">
        <v>25</v>
      </c>
      <c r="C13" s="34">
        <f>COUNTIF(TRACKER!G4:G200,"Proposal Sent")</f>
        <v>4</v>
      </c>
      <c r="D13" s="35">
        <f>IFERROR(C13/SUM(C11:C22),0)</f>
        <v>0.25</v>
      </c>
      <c r="E13" s="36" t="str">
        <f>IFERROR(REPT("█",ROUND(C13/MAX(C11:C22)*20,0))&amp;" "&amp;C13,"")</f>
        <v>█████████████ 4</v>
      </c>
      <c r="H13" s="106" t="s">
        <v>26</v>
      </c>
      <c r="I13" s="106"/>
      <c r="J13" s="107">
        <f>COUNTIF(TRACKER!F4:F200,"Medium")</f>
        <v>12</v>
      </c>
      <c r="K13" s="107"/>
      <c r="L13" s="24" t="s">
        <v>27</v>
      </c>
      <c r="M13" s="25" t="s">
        <v>28</v>
      </c>
      <c r="N13" s="26" t="s">
        <v>29</v>
      </c>
    </row>
    <row r="14" spans="1:14" ht="27.75" customHeight="1" x14ac:dyDescent="0.25">
      <c r="B14" s="37" t="s">
        <v>30</v>
      </c>
      <c r="C14" s="38">
        <f>COUNTIF(TRACKER!G4:G200,"Meeting Scheduled")</f>
        <v>0</v>
      </c>
      <c r="D14" s="39">
        <f>IFERROR(C14/SUM(C11:C22),0)</f>
        <v>0</v>
      </c>
      <c r="E14" s="40" t="str">
        <f>IFERROR(REPT("█",ROUND(C14/MAX(C11:C22)*20,0))&amp;" "&amp;C14,"")</f>
        <v xml:space="preserve"> 0</v>
      </c>
      <c r="H14" s="108" t="s">
        <v>31</v>
      </c>
      <c r="I14" s="108"/>
      <c r="J14" s="109">
        <f>COUNTIF(TRACKER!F4:F200,"Low")</f>
        <v>1</v>
      </c>
      <c r="K14" s="109"/>
      <c r="L14" s="24" t="s">
        <v>32</v>
      </c>
      <c r="M14" s="31" t="s">
        <v>33</v>
      </c>
      <c r="N14" s="32" t="s">
        <v>34</v>
      </c>
    </row>
    <row r="15" spans="1:14" ht="27.75" customHeight="1" x14ac:dyDescent="0.25">
      <c r="B15" s="42" t="s">
        <v>35</v>
      </c>
      <c r="C15" s="43">
        <f>COUNTIF(TRACKER!G4:G200,"In Negotiation")</f>
        <v>0</v>
      </c>
      <c r="D15" s="44">
        <f>IFERROR(C15/SUM(C11:C22),0)</f>
        <v>0</v>
      </c>
      <c r="E15" s="45" t="str">
        <f>IFERROR(REPT("█",ROUND(C15/MAX(C11:C22)*20,0))&amp;" "&amp;C15,"")</f>
        <v xml:space="preserve"> 0</v>
      </c>
      <c r="L15" s="24" t="s">
        <v>36</v>
      </c>
      <c r="M15" s="25" t="s">
        <v>37</v>
      </c>
      <c r="N15" s="26" t="s">
        <v>38</v>
      </c>
    </row>
    <row r="16" spans="1:14" ht="42" customHeight="1" x14ac:dyDescent="0.25">
      <c r="B16" s="46" t="s">
        <v>2</v>
      </c>
      <c r="C16" s="41">
        <f>COUNTIF(TRACKER!G4:G200,"Confirmed")</f>
        <v>1</v>
      </c>
      <c r="D16" s="47">
        <f>IFERROR(C16/SUM(C11:C22),0)</f>
        <v>6.25E-2</v>
      </c>
      <c r="E16" s="48" t="str">
        <f>IFERROR(REPT("█",ROUND(C16/MAX(C11:C22)*20,0))&amp;" "&amp;C16,"")</f>
        <v>███ 1</v>
      </c>
      <c r="L16" s="24" t="s">
        <v>39</v>
      </c>
      <c r="M16" s="31" t="s">
        <v>40</v>
      </c>
      <c r="N16" s="32" t="s">
        <v>41</v>
      </c>
    </row>
    <row r="17" spans="1:14" ht="27.75" customHeight="1" x14ac:dyDescent="0.25">
      <c r="B17" s="49" t="s">
        <v>42</v>
      </c>
      <c r="C17" s="50">
        <f>COUNTIF(TRACKER!G4:G200,"Training Scheduled")</f>
        <v>0</v>
      </c>
      <c r="D17" s="51">
        <f>IFERROR(C17/SUM(C11:C22),0)</f>
        <v>0</v>
      </c>
      <c r="E17" s="52" t="str">
        <f>IFERROR(REPT("█",ROUND(C17/MAX(C11:C22)*20,0))&amp;" "&amp;C17,"")</f>
        <v xml:space="preserve"> 0</v>
      </c>
      <c r="L17" s="135" t="s">
        <v>324</v>
      </c>
      <c r="M17" s="25" t="s">
        <v>43</v>
      </c>
      <c r="N17" s="136">
        <v>46213</v>
      </c>
    </row>
    <row r="18" spans="1:14" ht="21.75" customHeight="1" x14ac:dyDescent="0.25">
      <c r="B18" s="53" t="s">
        <v>45</v>
      </c>
      <c r="C18" s="54">
        <f>COUNTIF(TRACKER!G4:G200,"Training Ongoing")</f>
        <v>0</v>
      </c>
      <c r="D18" s="55">
        <f>IFERROR(C18/SUM(C11:C22),0)</f>
        <v>0</v>
      </c>
      <c r="E18" s="56" t="str">
        <f>IFERROR(REPT("█",ROUND(C18/MAX(C11:C22)*20,0))&amp;" "&amp;C18,"")</f>
        <v xml:space="preserve"> 0</v>
      </c>
    </row>
    <row r="19" spans="1:14" ht="21.75" customHeight="1" x14ac:dyDescent="0.25">
      <c r="B19" s="57" t="s">
        <v>46</v>
      </c>
      <c r="C19" s="58">
        <f>COUNTIF(TRACKER!G4:G200,"Training Completed")</f>
        <v>0</v>
      </c>
      <c r="D19" s="59">
        <f>IFERROR(C19/SUM(C11:C22),0)</f>
        <v>0</v>
      </c>
      <c r="E19" s="60" t="str">
        <f>IFERROR(REPT("█",ROUND(C19/MAX(C11:C22)*20,0))&amp;" "&amp;C19,"")</f>
        <v xml:space="preserve"> 0</v>
      </c>
    </row>
    <row r="20" spans="1:14" ht="21.75" customHeight="1" x14ac:dyDescent="0.25">
      <c r="B20" s="61" t="s">
        <v>47</v>
      </c>
      <c r="C20" s="62">
        <f>COUNTIF(TRACKER!G4:G200,"Follow-Up Required")</f>
        <v>1</v>
      </c>
      <c r="D20" s="63">
        <f>IFERROR(C20/SUM(C11:C22),0)</f>
        <v>6.25E-2</v>
      </c>
      <c r="E20" s="64" t="str">
        <f>IFERROR(REPT("█",ROUND(C20/MAX(C11:C22)*20,0))&amp;" "&amp;C20,"")</f>
        <v>███ 1</v>
      </c>
    </row>
    <row r="21" spans="1:14" ht="21.75" customHeight="1" x14ac:dyDescent="0.25">
      <c r="B21" s="65" t="s">
        <v>48</v>
      </c>
      <c r="C21" s="66">
        <f>COUNTIF(TRACKER!G4:G200,"On Hold")</f>
        <v>1</v>
      </c>
      <c r="D21" s="67">
        <f>IFERROR(C21/SUM(C11:C22),0)</f>
        <v>6.25E-2</v>
      </c>
      <c r="E21" s="68" t="str">
        <f>IFERROR(REPT("█",ROUND(C21/MAX(C11:C22)*20,0))&amp;" "&amp;C21,"")</f>
        <v>███ 1</v>
      </c>
    </row>
    <row r="22" spans="1:14" ht="21.75" customHeight="1" x14ac:dyDescent="0.25">
      <c r="B22" s="69" t="s">
        <v>49</v>
      </c>
      <c r="C22" s="70">
        <f>COUNTIF(TRACKER!G4:G200,"Cancelled")</f>
        <v>0</v>
      </c>
      <c r="D22" s="71">
        <f>IFERROR(C22/SUM(C11:C22),0)</f>
        <v>0</v>
      </c>
      <c r="E22" s="72" t="str">
        <f>IFERROR(REPT("█",ROUND(C22/MAX(C11:C22)*20,0))&amp;" "&amp;C22,"")</f>
        <v xml:space="preserve"> 0</v>
      </c>
    </row>
    <row r="26" spans="1:14" ht="15" customHeight="1" x14ac:dyDescent="0.25">
      <c r="B26" s="110" t="s">
        <v>50</v>
      </c>
      <c r="C26" s="110"/>
      <c r="D26" s="110"/>
      <c r="E26" s="110"/>
      <c r="F26" s="110"/>
      <c r="G26" s="110"/>
      <c r="H26" s="110"/>
      <c r="I26" s="110"/>
      <c r="J26" s="110"/>
      <c r="K26" s="110"/>
      <c r="L26" s="110"/>
      <c r="M26" s="110"/>
    </row>
    <row r="27" spans="1:14" ht="15" customHeight="1" x14ac:dyDescent="0.25">
      <c r="A27" s="15" t="s">
        <v>51</v>
      </c>
      <c r="B27" s="15" t="s">
        <v>52</v>
      </c>
      <c r="C27" s="15" t="s">
        <v>2</v>
      </c>
      <c r="D27" s="15" t="s">
        <v>53</v>
      </c>
      <c r="E27" s="15" t="s">
        <v>5</v>
      </c>
      <c r="F27" s="15" t="s">
        <v>54</v>
      </c>
      <c r="G27" s="132" t="s">
        <v>321</v>
      </c>
      <c r="H27" s="15" t="s">
        <v>55</v>
      </c>
    </row>
    <row r="28" spans="1:14" ht="27.75" customHeight="1" x14ac:dyDescent="0.25">
      <c r="B28" s="74" t="s">
        <v>56</v>
      </c>
      <c r="C28" s="75">
        <f>COUNTIF(TRACKER!B4:B200,"Everest Pharma Limited")</f>
        <v>2</v>
      </c>
      <c r="D28" s="75">
        <f>SUMPRODUCT((TRACKER!B4:B200="Everest Pharma Limited")*(TRACKER!G4:G200="Confirmed"))</f>
        <v>0</v>
      </c>
      <c r="E28" s="75">
        <f>SUMPRODUCT((TRACKER!B4:B200="Everest Pharma Limited")*(TRACKER!G4:G200="Pending Proposal"))</f>
        <v>0</v>
      </c>
      <c r="F28" s="75">
        <f>SUMPRODUCT((TRACKER!B4:B200="Everest Pharma Limited")*(TRACKER!G4:G200="Training Completed"))</f>
        <v>0</v>
      </c>
      <c r="G28" s="75" t="s">
        <v>57</v>
      </c>
      <c r="H28" s="75" t="s">
        <v>58</v>
      </c>
      <c r="I28" s="75" t="s">
        <v>59</v>
      </c>
    </row>
    <row r="29" spans="1:14" ht="27.75" customHeight="1" x14ac:dyDescent="0.25">
      <c r="B29" s="76" t="s">
        <v>60</v>
      </c>
      <c r="C29" s="77">
        <f>COUNTIF(TRACKER!B4:B200,"Aristo Pharma Ltd")</f>
        <v>4</v>
      </c>
      <c r="D29" s="77">
        <f>SUMPRODUCT((TRACKER!B4:B200="Aristo Pharma Ltd")*(TRACKER!G4:G200="Confirmed"))</f>
        <v>0</v>
      </c>
      <c r="E29" s="77">
        <f>SUMPRODUCT((TRACKER!B4:B200="Aristo Pharma Ltd")*(TRACKER!G4:G200="Pending Proposal"))</f>
        <v>2</v>
      </c>
      <c r="F29" s="77">
        <f>SUMPRODUCT((TRACKER!B4:B200="Aristo Pharma Ltd")*(TRACKER!G4:G200="Training Completed"))</f>
        <v>0</v>
      </c>
      <c r="G29" s="77" t="s">
        <v>61</v>
      </c>
      <c r="H29" s="75" t="s">
        <v>58</v>
      </c>
      <c r="I29" s="77" t="s">
        <v>59</v>
      </c>
    </row>
    <row r="30" spans="1:14" ht="27.75" customHeight="1" x14ac:dyDescent="0.25">
      <c r="B30" s="126" t="s">
        <v>316</v>
      </c>
      <c r="C30" s="75">
        <v>2</v>
      </c>
      <c r="D30" s="75">
        <v>1</v>
      </c>
      <c r="E30" s="75">
        <v>1</v>
      </c>
      <c r="F30" s="75">
        <v>160</v>
      </c>
      <c r="G30" s="75" t="s">
        <v>57</v>
      </c>
      <c r="H30" s="77" t="s">
        <v>62</v>
      </c>
      <c r="I30" s="75" t="s">
        <v>59</v>
      </c>
    </row>
    <row r="31" spans="1:14" ht="27.75" customHeight="1" x14ac:dyDescent="0.25">
      <c r="B31" s="127" t="s">
        <v>317</v>
      </c>
      <c r="C31" s="77">
        <v>2</v>
      </c>
      <c r="D31" s="77">
        <v>2</v>
      </c>
      <c r="E31" s="77">
        <v>0</v>
      </c>
      <c r="F31" s="77">
        <f>SUMPRODUCT((TRACKER!B6:B202="Aristo Pharma Ltd")*(TRACKER!G6:G202="Training Completed"))</f>
        <v>0</v>
      </c>
      <c r="G31" s="133" t="s">
        <v>322</v>
      </c>
      <c r="H31" s="75" t="s">
        <v>58</v>
      </c>
      <c r="I31" s="77" t="s">
        <v>59</v>
      </c>
    </row>
    <row r="32" spans="1:14" ht="27.75" customHeight="1" x14ac:dyDescent="0.25">
      <c r="B32" s="127" t="s">
        <v>309</v>
      </c>
      <c r="C32" s="77">
        <v>2</v>
      </c>
      <c r="D32" s="77">
        <v>2</v>
      </c>
      <c r="E32" s="77">
        <v>0</v>
      </c>
      <c r="F32" s="77">
        <f>SUMPRODUCT((TRACKER!B7:B203="Aristo Pharma Ltd")*(TRACKER!G7:G203="Training Completed"))</f>
        <v>0</v>
      </c>
      <c r="G32" s="133" t="s">
        <v>322</v>
      </c>
      <c r="H32" s="75" t="s">
        <v>58</v>
      </c>
      <c r="I32" s="77" t="s">
        <v>59</v>
      </c>
    </row>
    <row r="33" spans="2:13" ht="27.75" customHeight="1" x14ac:dyDescent="0.25">
      <c r="B33" s="127" t="s">
        <v>111</v>
      </c>
      <c r="C33" s="77">
        <f>COUNTIF(TRACKER!B8:B204,"Aristo Pharma Ltd")</f>
        <v>2</v>
      </c>
      <c r="D33" s="77">
        <f>SUMPRODUCT((TRACKER!B8:B204="Aristo Pharma Ltd")*(TRACKER!G8:G204="Confirmed"))</f>
        <v>0</v>
      </c>
      <c r="E33" s="77">
        <f>SUMPRODUCT((TRACKER!B8:B204="Aristo Pharma Ltd")*(TRACKER!G8:G204="Pending Proposal"))</f>
        <v>2</v>
      </c>
      <c r="F33" s="77">
        <f>SUMPRODUCT((TRACKER!B8:B204="Aristo Pharma Ltd")*(TRACKER!G8:G204="Training Completed"))</f>
        <v>0</v>
      </c>
      <c r="G33" s="133" t="s">
        <v>322</v>
      </c>
      <c r="H33" s="75" t="s">
        <v>58</v>
      </c>
      <c r="I33" s="77" t="s">
        <v>59</v>
      </c>
    </row>
    <row r="34" spans="2:13" ht="27.75" customHeight="1" x14ac:dyDescent="0.25">
      <c r="B34" s="127" t="s">
        <v>320</v>
      </c>
      <c r="C34" s="77">
        <v>3</v>
      </c>
      <c r="D34" s="77">
        <v>3</v>
      </c>
      <c r="E34" s="77">
        <v>0</v>
      </c>
      <c r="F34" s="77">
        <f>SUMPRODUCT((TRACKER!B9:B205="Aristo Pharma Ltd")*(TRACKER!G9:G205="Training Completed"))</f>
        <v>0</v>
      </c>
      <c r="G34" s="133" t="s">
        <v>322</v>
      </c>
      <c r="H34" s="75" t="s">
        <v>58</v>
      </c>
      <c r="I34" s="77" t="s">
        <v>59</v>
      </c>
    </row>
    <row r="35" spans="2:13" ht="27.75" customHeight="1" x14ac:dyDescent="0.25">
      <c r="B35" s="128"/>
      <c r="C35" s="120"/>
      <c r="D35" s="120"/>
      <c r="E35" s="120"/>
      <c r="F35" s="120"/>
      <c r="G35" s="120"/>
      <c r="H35" s="120"/>
      <c r="I35" s="120"/>
    </row>
    <row r="38" spans="2:13" ht="15" customHeight="1" x14ac:dyDescent="0.25">
      <c r="B38" s="111" t="s">
        <v>63</v>
      </c>
      <c r="C38" s="111"/>
      <c r="D38" s="111"/>
      <c r="E38" s="111"/>
      <c r="F38" s="111"/>
      <c r="G38" s="111"/>
      <c r="H38" s="111"/>
      <c r="I38" s="111"/>
      <c r="J38" s="111"/>
      <c r="K38" s="111"/>
      <c r="L38" s="111"/>
      <c r="M38" s="111"/>
    </row>
    <row r="39" spans="2:13" ht="24" customHeight="1" x14ac:dyDescent="0.25">
      <c r="B39" s="112" t="s">
        <v>64</v>
      </c>
      <c r="C39" s="112"/>
      <c r="D39" s="112"/>
      <c r="E39" s="112"/>
      <c r="F39" s="112"/>
      <c r="G39" s="112"/>
      <c r="H39" s="112"/>
      <c r="I39" s="112"/>
      <c r="J39" s="112"/>
      <c r="K39" s="112"/>
      <c r="L39" s="112"/>
      <c r="M39" s="112"/>
    </row>
    <row r="40" spans="2:13" ht="24" customHeight="1" x14ac:dyDescent="0.25">
      <c r="B40" s="113" t="s">
        <v>65</v>
      </c>
      <c r="C40" s="113"/>
      <c r="D40" s="113"/>
      <c r="E40" s="113"/>
      <c r="F40" s="113"/>
      <c r="G40" s="113"/>
      <c r="H40" s="113"/>
      <c r="I40" s="113"/>
      <c r="J40" s="113"/>
      <c r="K40" s="113"/>
      <c r="L40" s="113"/>
      <c r="M40" s="113"/>
    </row>
    <row r="41" spans="2:13" ht="24" customHeight="1" x14ac:dyDescent="0.25">
      <c r="B41" s="112" t="s">
        <v>66</v>
      </c>
      <c r="C41" s="112"/>
      <c r="D41" s="112"/>
      <c r="E41" s="112"/>
      <c r="F41" s="112"/>
      <c r="G41" s="112"/>
      <c r="H41" s="112"/>
      <c r="I41" s="112"/>
      <c r="J41" s="112"/>
      <c r="K41" s="112"/>
      <c r="L41" s="112"/>
      <c r="M41" s="112"/>
    </row>
    <row r="42" spans="2:13" ht="24" customHeight="1" x14ac:dyDescent="0.25">
      <c r="B42" s="113" t="s">
        <v>67</v>
      </c>
      <c r="C42" s="113"/>
      <c r="D42" s="113"/>
      <c r="E42" s="113"/>
      <c r="F42" s="113"/>
      <c r="G42" s="113"/>
      <c r="H42" s="113"/>
      <c r="I42" s="113"/>
      <c r="J42" s="113"/>
      <c r="K42" s="113"/>
      <c r="L42" s="113"/>
      <c r="M42" s="113"/>
    </row>
    <row r="43" spans="2:13" ht="24" customHeight="1" x14ac:dyDescent="0.25">
      <c r="B43" s="112" t="s">
        <v>68</v>
      </c>
      <c r="C43" s="112"/>
      <c r="D43" s="112"/>
      <c r="E43" s="112"/>
      <c r="F43" s="112"/>
      <c r="G43" s="112"/>
      <c r="H43" s="112"/>
      <c r="I43" s="112"/>
      <c r="J43" s="112"/>
      <c r="K43" s="112"/>
      <c r="L43" s="112"/>
      <c r="M43" s="112"/>
    </row>
    <row r="44" spans="2:13" ht="24" customHeight="1" x14ac:dyDescent="0.25">
      <c r="B44" s="113" t="s">
        <v>69</v>
      </c>
      <c r="C44" s="113"/>
      <c r="D44" s="113"/>
      <c r="E44" s="113"/>
      <c r="F44" s="113"/>
      <c r="G44" s="113"/>
      <c r="H44" s="113"/>
      <c r="I44" s="113"/>
      <c r="J44" s="113"/>
      <c r="K44" s="113"/>
      <c r="L44" s="113"/>
      <c r="M44" s="113"/>
    </row>
  </sheetData>
  <mergeCells count="39">
    <mergeCell ref="B42:M42"/>
    <mergeCell ref="B43:M43"/>
    <mergeCell ref="B44:M44"/>
    <mergeCell ref="B26:M26"/>
    <mergeCell ref="B38:M38"/>
    <mergeCell ref="B39:M39"/>
    <mergeCell ref="B40:M40"/>
    <mergeCell ref="B41:M41"/>
    <mergeCell ref="H12:I12"/>
    <mergeCell ref="J12:K12"/>
    <mergeCell ref="H13:I13"/>
    <mergeCell ref="J13:K13"/>
    <mergeCell ref="H14:I14"/>
    <mergeCell ref="J14:K14"/>
    <mergeCell ref="B9:G9"/>
    <mergeCell ref="H9:K9"/>
    <mergeCell ref="L9:N9"/>
    <mergeCell ref="H11:I11"/>
    <mergeCell ref="J11:K11"/>
    <mergeCell ref="L5:M5"/>
    <mergeCell ref="B6:C6"/>
    <mergeCell ref="D6:E6"/>
    <mergeCell ref="F6:G6"/>
    <mergeCell ref="H6:I6"/>
    <mergeCell ref="J6:K6"/>
    <mergeCell ref="L6:M6"/>
    <mergeCell ref="B5:C5"/>
    <mergeCell ref="D5:E5"/>
    <mergeCell ref="F5:G5"/>
    <mergeCell ref="H5:I5"/>
    <mergeCell ref="J5:K5"/>
    <mergeCell ref="A1:N1"/>
    <mergeCell ref="A2:N2"/>
    <mergeCell ref="B4:C4"/>
    <mergeCell ref="D4:E4"/>
    <mergeCell ref="F4:G4"/>
    <mergeCell ref="H4:I4"/>
    <mergeCell ref="J4:K4"/>
    <mergeCell ref="L4:M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55A64"/>
  </sheetPr>
  <dimension ref="A1:H14"/>
  <sheetViews>
    <sheetView zoomScaleNormal="100" workbookViewId="0"/>
  </sheetViews>
  <sheetFormatPr defaultColWidth="8.7109375" defaultRowHeight="15" x14ac:dyDescent="0.25"/>
  <cols>
    <col min="1" max="1" width="30" customWidth="1"/>
    <col min="2" max="8" width="28" customWidth="1"/>
  </cols>
  <sheetData>
    <row r="1" spans="1:8" ht="15" customHeight="1" x14ac:dyDescent="0.25">
      <c r="A1" s="114" t="s">
        <v>70</v>
      </c>
      <c r="B1" s="114"/>
      <c r="C1" s="114"/>
      <c r="D1" s="114"/>
      <c r="E1" s="114"/>
      <c r="F1" s="114"/>
      <c r="G1" s="114"/>
      <c r="H1" s="114"/>
    </row>
    <row r="2" spans="1:8" ht="15" customHeight="1" x14ac:dyDescent="0.25">
      <c r="A2" s="78" t="s">
        <v>71</v>
      </c>
      <c r="B2" s="78" t="s">
        <v>72</v>
      </c>
      <c r="C2" s="78" t="s">
        <v>73</v>
      </c>
      <c r="D2" s="78" t="s">
        <v>51</v>
      </c>
      <c r="E2" s="78" t="s">
        <v>74</v>
      </c>
      <c r="F2" s="78" t="s">
        <v>75</v>
      </c>
      <c r="G2" s="78" t="s">
        <v>76</v>
      </c>
      <c r="H2" s="78" t="s">
        <v>77</v>
      </c>
    </row>
    <row r="3" spans="1:8" ht="15" customHeight="1" x14ac:dyDescent="0.25">
      <c r="A3" s="79" t="s">
        <v>15</v>
      </c>
      <c r="B3" s="79" t="s">
        <v>16</v>
      </c>
      <c r="C3" s="79" t="s">
        <v>78</v>
      </c>
      <c r="D3" s="79" t="s">
        <v>56</v>
      </c>
      <c r="E3" s="79" t="s">
        <v>79</v>
      </c>
      <c r="F3" s="79" t="s">
        <v>80</v>
      </c>
      <c r="G3" s="79" t="s">
        <v>81</v>
      </c>
      <c r="H3" s="79" t="s">
        <v>82</v>
      </c>
    </row>
    <row r="4" spans="1:8" ht="15" customHeight="1" x14ac:dyDescent="0.25">
      <c r="A4" s="80" t="s">
        <v>20</v>
      </c>
      <c r="B4" s="80" t="s">
        <v>21</v>
      </c>
      <c r="C4" s="80" t="s">
        <v>83</v>
      </c>
      <c r="D4" s="80" t="s">
        <v>60</v>
      </c>
      <c r="E4" s="80" t="s">
        <v>84</v>
      </c>
      <c r="F4" s="80" t="s">
        <v>85</v>
      </c>
      <c r="G4" s="80" t="s">
        <v>86</v>
      </c>
      <c r="H4" s="80" t="s">
        <v>87</v>
      </c>
    </row>
    <row r="5" spans="1:8" ht="15" customHeight="1" x14ac:dyDescent="0.25">
      <c r="A5" s="79" t="s">
        <v>25</v>
      </c>
      <c r="B5" s="79" t="s">
        <v>26</v>
      </c>
      <c r="C5" s="79" t="s">
        <v>88</v>
      </c>
      <c r="D5" s="79" t="s">
        <v>89</v>
      </c>
      <c r="E5" s="79" t="s">
        <v>90</v>
      </c>
      <c r="F5" s="79" t="s">
        <v>91</v>
      </c>
      <c r="G5" s="79" t="s">
        <v>92</v>
      </c>
      <c r="H5" s="79" t="s">
        <v>93</v>
      </c>
    </row>
    <row r="6" spans="1:8" ht="15" customHeight="1" x14ac:dyDescent="0.25">
      <c r="A6" s="80" t="s">
        <v>30</v>
      </c>
      <c r="B6" s="80" t="s">
        <v>31</v>
      </c>
      <c r="C6" s="80" t="s">
        <v>94</v>
      </c>
      <c r="D6" s="80" t="s">
        <v>95</v>
      </c>
      <c r="E6" s="80" t="s">
        <v>96</v>
      </c>
      <c r="F6" s="80" t="s">
        <v>97</v>
      </c>
      <c r="G6" s="80" t="s">
        <v>98</v>
      </c>
      <c r="H6" s="80" t="s">
        <v>99</v>
      </c>
    </row>
    <row r="7" spans="1:8" ht="15" customHeight="1" x14ac:dyDescent="0.25">
      <c r="A7" s="79" t="s">
        <v>35</v>
      </c>
      <c r="C7" s="79" t="s">
        <v>100</v>
      </c>
      <c r="D7" s="79" t="s">
        <v>101</v>
      </c>
      <c r="F7" s="79" t="s">
        <v>102</v>
      </c>
      <c r="G7" s="79" t="s">
        <v>103</v>
      </c>
      <c r="H7" s="79" t="s">
        <v>104</v>
      </c>
    </row>
    <row r="8" spans="1:8" ht="15" customHeight="1" x14ac:dyDescent="0.25">
      <c r="A8" s="80" t="s">
        <v>2</v>
      </c>
      <c r="C8" s="80" t="s">
        <v>105</v>
      </c>
      <c r="D8" s="80" t="s">
        <v>106</v>
      </c>
      <c r="F8" s="80" t="s">
        <v>107</v>
      </c>
      <c r="G8" s="80" t="s">
        <v>108</v>
      </c>
      <c r="H8" s="80" t="s">
        <v>109</v>
      </c>
    </row>
    <row r="9" spans="1:8" ht="15" customHeight="1" x14ac:dyDescent="0.25">
      <c r="A9" s="79" t="s">
        <v>42</v>
      </c>
      <c r="C9" s="79" t="s">
        <v>110</v>
      </c>
      <c r="D9" s="79" t="s">
        <v>111</v>
      </c>
      <c r="F9" s="79" t="s">
        <v>112</v>
      </c>
      <c r="G9" s="79" t="s">
        <v>113</v>
      </c>
      <c r="H9" s="79" t="s">
        <v>114</v>
      </c>
    </row>
    <row r="10" spans="1:8" ht="15" customHeight="1" x14ac:dyDescent="0.25">
      <c r="A10" s="80" t="s">
        <v>45</v>
      </c>
      <c r="C10" s="80" t="s">
        <v>115</v>
      </c>
      <c r="D10" s="80" t="s">
        <v>116</v>
      </c>
      <c r="G10" s="80" t="s">
        <v>117</v>
      </c>
      <c r="H10" s="80" t="s">
        <v>118</v>
      </c>
    </row>
    <row r="11" spans="1:8" ht="15" customHeight="1" x14ac:dyDescent="0.25">
      <c r="A11" s="79" t="s">
        <v>46</v>
      </c>
      <c r="C11" s="79" t="s">
        <v>119</v>
      </c>
      <c r="D11" s="79" t="s">
        <v>120</v>
      </c>
      <c r="G11" s="79" t="s">
        <v>121</v>
      </c>
      <c r="H11" s="79" t="s">
        <v>122</v>
      </c>
    </row>
    <row r="12" spans="1:8" ht="15" customHeight="1" x14ac:dyDescent="0.25">
      <c r="A12" s="80" t="s">
        <v>47</v>
      </c>
      <c r="C12" s="80" t="s">
        <v>123</v>
      </c>
      <c r="D12" s="80" t="s">
        <v>124</v>
      </c>
      <c r="G12" s="80" t="s">
        <v>125</v>
      </c>
    </row>
    <row r="13" spans="1:8" ht="15" customHeight="1" x14ac:dyDescent="0.25">
      <c r="A13" s="79" t="s">
        <v>48</v>
      </c>
      <c r="C13" s="79" t="s">
        <v>126</v>
      </c>
    </row>
    <row r="14" spans="1:8" ht="15" customHeight="1" x14ac:dyDescent="0.25">
      <c r="A14" s="80" t="s">
        <v>49</v>
      </c>
      <c r="C14" s="80" t="s">
        <v>127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>
    <tabColor rgb="FF1565C0"/>
  </sheetPr>
  <dimension ref="A1:T19"/>
  <sheetViews>
    <sheetView showGridLines="0" zoomScaleNormal="100" workbookViewId="0">
      <pane ySplit="3" topLeftCell="A10" activePane="bottomLeft" state="frozen"/>
      <selection pane="bottomLeft" activeCell="A10" sqref="A10"/>
    </sheetView>
  </sheetViews>
  <sheetFormatPr defaultColWidth="8.7109375" defaultRowHeight="15" x14ac:dyDescent="0.25"/>
  <cols>
    <col min="1" max="1" width="11.42578125" customWidth="1"/>
    <col min="2" max="2" width="24" customWidth="1"/>
    <col min="3" max="3" width="18" customWidth="1"/>
    <col min="4" max="4" width="28" customWidth="1"/>
    <col min="5" max="5" width="22" customWidth="1"/>
    <col min="6" max="6" width="11" customWidth="1"/>
    <col min="7" max="7" width="22" customWidth="1"/>
    <col min="8" max="8" width="34" customWidth="1"/>
    <col min="9" max="9" width="21.140625" customWidth="1"/>
    <col min="10" max="10" width="15" customWidth="1"/>
    <col min="11" max="11" width="16" customWidth="1"/>
    <col min="12" max="12" width="14" customWidth="1"/>
    <col min="13" max="13" width="20" customWidth="1"/>
    <col min="14" max="14" width="14" customWidth="1"/>
    <col min="15" max="15" width="16" customWidth="1"/>
    <col min="16" max="16" width="20" customWidth="1"/>
    <col min="17" max="17" width="30" customWidth="1"/>
    <col min="18" max="18" width="15" customWidth="1"/>
    <col min="19" max="19" width="14" customWidth="1"/>
    <col min="20" max="20" width="36" customWidth="1"/>
  </cols>
  <sheetData>
    <row r="1" spans="1:20" ht="36" customHeight="1" x14ac:dyDescent="0.25">
      <c r="A1" s="115" t="s">
        <v>128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</row>
    <row r="2" spans="1:20" ht="21.75" customHeight="1" x14ac:dyDescent="0.25">
      <c r="A2" s="12" t="s">
        <v>305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</row>
    <row r="3" spans="1:20" ht="31.5" customHeight="1" x14ac:dyDescent="0.25">
      <c r="A3" s="16" t="s">
        <v>129</v>
      </c>
      <c r="B3" s="16" t="s">
        <v>130</v>
      </c>
      <c r="C3" s="16" t="s">
        <v>76</v>
      </c>
      <c r="D3" s="16" t="s">
        <v>131</v>
      </c>
      <c r="E3" s="16" t="s">
        <v>132</v>
      </c>
      <c r="F3" s="16" t="s">
        <v>72</v>
      </c>
      <c r="G3" s="16" t="s">
        <v>71</v>
      </c>
      <c r="H3" s="16" t="s">
        <v>133</v>
      </c>
      <c r="I3" s="16" t="s">
        <v>134</v>
      </c>
      <c r="J3" s="16" t="s">
        <v>135</v>
      </c>
      <c r="K3" s="16" t="s">
        <v>136</v>
      </c>
      <c r="L3" s="16" t="s">
        <v>137</v>
      </c>
      <c r="M3" s="16" t="s">
        <v>138</v>
      </c>
      <c r="N3" s="16" t="s">
        <v>25</v>
      </c>
      <c r="O3" s="16" t="s">
        <v>139</v>
      </c>
      <c r="P3" s="16" t="s">
        <v>74</v>
      </c>
      <c r="Q3" s="16" t="s">
        <v>140</v>
      </c>
      <c r="R3" s="16" t="s">
        <v>141</v>
      </c>
      <c r="S3" s="16" t="s">
        <v>142</v>
      </c>
      <c r="T3" s="16" t="s">
        <v>143</v>
      </c>
    </row>
    <row r="4" spans="1:20" ht="67.5" customHeight="1" x14ac:dyDescent="0.25">
      <c r="A4" s="81" t="s">
        <v>17</v>
      </c>
      <c r="B4" s="82" t="s">
        <v>56</v>
      </c>
      <c r="C4" s="82" t="s">
        <v>144</v>
      </c>
      <c r="D4" s="82" t="s">
        <v>145</v>
      </c>
      <c r="E4" s="82" t="s">
        <v>146</v>
      </c>
      <c r="F4" s="83" t="s">
        <v>21</v>
      </c>
      <c r="G4" s="84" t="s">
        <v>25</v>
      </c>
      <c r="H4" s="82" t="s">
        <v>147</v>
      </c>
      <c r="I4" s="82" t="s">
        <v>44</v>
      </c>
      <c r="J4" s="82"/>
      <c r="K4" s="82" t="s">
        <v>148</v>
      </c>
      <c r="L4" s="82" t="s">
        <v>149</v>
      </c>
      <c r="M4" s="82" t="s">
        <v>150</v>
      </c>
      <c r="N4" s="82" t="s">
        <v>151</v>
      </c>
      <c r="O4" s="82" t="s">
        <v>152</v>
      </c>
      <c r="P4" s="82" t="s">
        <v>79</v>
      </c>
      <c r="Q4" s="82" t="s">
        <v>153</v>
      </c>
      <c r="R4" s="82" t="s">
        <v>19</v>
      </c>
      <c r="S4" s="82" t="s">
        <v>154</v>
      </c>
      <c r="T4" s="82" t="s">
        <v>155</v>
      </c>
    </row>
    <row r="5" spans="1:20" ht="76.5" x14ac:dyDescent="0.25">
      <c r="A5" s="81" t="s">
        <v>22</v>
      </c>
      <c r="B5" s="85" t="s">
        <v>56</v>
      </c>
      <c r="C5" s="85" t="s">
        <v>156</v>
      </c>
      <c r="D5" s="85" t="s">
        <v>157</v>
      </c>
      <c r="E5" s="85" t="s">
        <v>158</v>
      </c>
      <c r="F5" s="86" t="s">
        <v>26</v>
      </c>
      <c r="G5" s="84" t="s">
        <v>25</v>
      </c>
      <c r="H5" s="85" t="s">
        <v>159</v>
      </c>
      <c r="I5" s="85" t="s">
        <v>160</v>
      </c>
      <c r="J5" s="85"/>
      <c r="K5" s="85" t="s">
        <v>161</v>
      </c>
      <c r="L5" s="85" t="s">
        <v>162</v>
      </c>
      <c r="M5" s="85" t="s">
        <v>163</v>
      </c>
      <c r="N5" s="85" t="s">
        <v>151</v>
      </c>
      <c r="O5" s="85" t="s">
        <v>164</v>
      </c>
      <c r="P5" s="85" t="s">
        <v>79</v>
      </c>
      <c r="Q5" s="85" t="s">
        <v>165</v>
      </c>
      <c r="R5" s="85" t="s">
        <v>24</v>
      </c>
      <c r="S5" s="85" t="s">
        <v>154</v>
      </c>
      <c r="T5" s="85" t="s">
        <v>166</v>
      </c>
    </row>
    <row r="6" spans="1:20" ht="76.5" x14ac:dyDescent="0.25">
      <c r="A6" s="81" t="s">
        <v>27</v>
      </c>
      <c r="B6" s="82" t="s">
        <v>60</v>
      </c>
      <c r="C6" s="82" t="s">
        <v>167</v>
      </c>
      <c r="D6" s="82" t="s">
        <v>168</v>
      </c>
      <c r="E6" s="82" t="s">
        <v>169</v>
      </c>
      <c r="F6" s="83" t="s">
        <v>21</v>
      </c>
      <c r="G6" s="84" t="s">
        <v>25</v>
      </c>
      <c r="H6" s="82" t="s">
        <v>170</v>
      </c>
      <c r="I6" s="82" t="s">
        <v>171</v>
      </c>
      <c r="J6" s="82"/>
      <c r="K6" s="82" t="s">
        <v>172</v>
      </c>
      <c r="L6" s="82" t="s">
        <v>173</v>
      </c>
      <c r="M6" s="82" t="s">
        <v>174</v>
      </c>
      <c r="N6" s="82" t="s">
        <v>151</v>
      </c>
      <c r="O6" s="82" t="s">
        <v>175</v>
      </c>
      <c r="P6" s="82" t="s">
        <v>90</v>
      </c>
      <c r="Q6" s="82" t="s">
        <v>176</v>
      </c>
      <c r="R6" s="82" t="s">
        <v>29</v>
      </c>
      <c r="S6" s="82" t="s">
        <v>154</v>
      </c>
      <c r="T6" s="82" t="s">
        <v>177</v>
      </c>
    </row>
    <row r="7" spans="1:20" ht="62.25" customHeight="1" x14ac:dyDescent="0.25">
      <c r="A7" s="81" t="s">
        <v>32</v>
      </c>
      <c r="B7" s="85" t="s">
        <v>60</v>
      </c>
      <c r="C7" s="85" t="s">
        <v>178</v>
      </c>
      <c r="D7" s="85" t="s">
        <v>179</v>
      </c>
      <c r="E7" s="85" t="s">
        <v>109</v>
      </c>
      <c r="F7" s="83" t="s">
        <v>31</v>
      </c>
      <c r="G7" s="84" t="s">
        <v>25</v>
      </c>
      <c r="H7" s="85" t="s">
        <v>180</v>
      </c>
      <c r="I7" s="85" t="s">
        <v>181</v>
      </c>
      <c r="J7" s="85" t="s">
        <v>181</v>
      </c>
      <c r="K7" s="85" t="s">
        <v>182</v>
      </c>
      <c r="L7" s="85" t="s">
        <v>183</v>
      </c>
      <c r="M7" s="85" t="s">
        <v>184</v>
      </c>
      <c r="N7" s="85" t="s">
        <v>151</v>
      </c>
      <c r="O7" s="85" t="s">
        <v>185</v>
      </c>
      <c r="P7" s="85" t="s">
        <v>90</v>
      </c>
      <c r="Q7" s="85" t="s">
        <v>186</v>
      </c>
      <c r="R7" s="85" t="s">
        <v>34</v>
      </c>
      <c r="S7" s="85" t="s">
        <v>154</v>
      </c>
      <c r="T7" s="131" t="s">
        <v>187</v>
      </c>
    </row>
    <row r="8" spans="1:20" ht="51.75" customHeight="1" x14ac:dyDescent="0.25">
      <c r="A8" s="81" t="s">
        <v>36</v>
      </c>
      <c r="B8" s="82" t="s">
        <v>60</v>
      </c>
      <c r="C8" s="82" t="s">
        <v>188</v>
      </c>
      <c r="D8" s="82" t="s">
        <v>189</v>
      </c>
      <c r="E8" s="82" t="s">
        <v>190</v>
      </c>
      <c r="F8" s="84" t="s">
        <v>26</v>
      </c>
      <c r="G8" s="83" t="s">
        <v>20</v>
      </c>
      <c r="H8" s="82" t="s">
        <v>191</v>
      </c>
      <c r="I8" s="82"/>
      <c r="J8" s="82"/>
      <c r="K8" s="82" t="s">
        <v>192</v>
      </c>
      <c r="L8" s="82" t="s">
        <v>193</v>
      </c>
      <c r="M8" s="82" t="s">
        <v>194</v>
      </c>
      <c r="N8" s="82" t="s">
        <v>195</v>
      </c>
      <c r="O8" s="82"/>
      <c r="P8" s="82" t="s">
        <v>79</v>
      </c>
      <c r="Q8" s="82" t="s">
        <v>196</v>
      </c>
      <c r="R8" s="82" t="s">
        <v>38</v>
      </c>
      <c r="S8" s="82" t="s">
        <v>154</v>
      </c>
      <c r="T8" s="82" t="s">
        <v>197</v>
      </c>
    </row>
    <row r="9" spans="1:20" ht="51.75" customHeight="1" x14ac:dyDescent="0.25">
      <c r="A9" s="81" t="s">
        <v>39</v>
      </c>
      <c r="B9" s="85" t="s">
        <v>60</v>
      </c>
      <c r="C9" s="85" t="s">
        <v>198</v>
      </c>
      <c r="D9" s="85" t="s">
        <v>199</v>
      </c>
      <c r="E9" s="85" t="s">
        <v>200</v>
      </c>
      <c r="F9" s="84" t="s">
        <v>26</v>
      </c>
      <c r="G9" s="83" t="s">
        <v>20</v>
      </c>
      <c r="H9" s="85" t="s">
        <v>201</v>
      </c>
      <c r="I9" s="85"/>
      <c r="J9" s="85"/>
      <c r="K9" s="85" t="s">
        <v>202</v>
      </c>
      <c r="L9" s="85" t="s">
        <v>203</v>
      </c>
      <c r="M9" s="85" t="s">
        <v>204</v>
      </c>
      <c r="N9" s="85" t="s">
        <v>195</v>
      </c>
      <c r="O9" s="85"/>
      <c r="P9" s="85" t="s">
        <v>90</v>
      </c>
      <c r="Q9" s="85" t="s">
        <v>205</v>
      </c>
      <c r="R9" s="85" t="s">
        <v>41</v>
      </c>
      <c r="S9" s="85" t="s">
        <v>154</v>
      </c>
      <c r="T9" s="85" t="s">
        <v>206</v>
      </c>
    </row>
    <row r="10" spans="1:20" ht="51" x14ac:dyDescent="0.25">
      <c r="A10" s="134" t="s">
        <v>324</v>
      </c>
      <c r="B10" s="85" t="s">
        <v>216</v>
      </c>
      <c r="C10" s="82" t="s">
        <v>125</v>
      </c>
      <c r="D10" s="82" t="s">
        <v>207</v>
      </c>
      <c r="E10" s="82" t="s">
        <v>208</v>
      </c>
      <c r="F10" s="84" t="s">
        <v>26</v>
      </c>
      <c r="G10" s="88" t="s">
        <v>15</v>
      </c>
      <c r="H10" s="82" t="s">
        <v>209</v>
      </c>
      <c r="I10" s="82" t="s">
        <v>210</v>
      </c>
      <c r="J10" s="82"/>
      <c r="K10" s="82" t="s">
        <v>211</v>
      </c>
      <c r="L10" s="82" t="s">
        <v>212</v>
      </c>
      <c r="M10" s="82" t="s">
        <v>213</v>
      </c>
      <c r="N10" s="82" t="s">
        <v>195</v>
      </c>
      <c r="O10" s="82"/>
      <c r="P10" s="82" t="s">
        <v>84</v>
      </c>
      <c r="Q10" s="82" t="s">
        <v>214</v>
      </c>
      <c r="R10" s="82" t="s">
        <v>24</v>
      </c>
      <c r="S10" s="82" t="s">
        <v>154</v>
      </c>
      <c r="T10" s="82" t="s">
        <v>215</v>
      </c>
    </row>
    <row r="11" spans="1:20" ht="89.25" x14ac:dyDescent="0.25">
      <c r="A11" s="134" t="s">
        <v>357</v>
      </c>
      <c r="B11" s="85" t="s">
        <v>216</v>
      </c>
      <c r="C11" s="85" t="s">
        <v>217</v>
      </c>
      <c r="D11" s="85" t="s">
        <v>218</v>
      </c>
      <c r="E11" s="85" t="s">
        <v>219</v>
      </c>
      <c r="F11" s="83" t="s">
        <v>21</v>
      </c>
      <c r="G11" s="88" t="s">
        <v>15</v>
      </c>
      <c r="H11" s="85" t="s">
        <v>220</v>
      </c>
      <c r="I11" s="85"/>
      <c r="J11" s="85"/>
      <c r="K11" s="85" t="s">
        <v>221</v>
      </c>
      <c r="L11" s="85" t="s">
        <v>222</v>
      </c>
      <c r="M11" s="85" t="s">
        <v>223</v>
      </c>
      <c r="N11" s="85" t="s">
        <v>195</v>
      </c>
      <c r="O11" s="85"/>
      <c r="P11" s="85" t="s">
        <v>79</v>
      </c>
      <c r="Q11" s="85" t="s">
        <v>224</v>
      </c>
      <c r="R11" s="85" t="s">
        <v>44</v>
      </c>
      <c r="S11" s="85" t="s">
        <v>154</v>
      </c>
      <c r="T11" s="131" t="s">
        <v>319</v>
      </c>
    </row>
    <row r="12" spans="1:20" ht="51.75" customHeight="1" x14ac:dyDescent="0.25">
      <c r="A12" s="134" t="s">
        <v>358</v>
      </c>
      <c r="B12" s="85" t="s">
        <v>216</v>
      </c>
      <c r="C12" s="129" t="s">
        <v>86</v>
      </c>
      <c r="D12" s="82" t="s">
        <v>88</v>
      </c>
      <c r="E12" s="129" t="s">
        <v>318</v>
      </c>
      <c r="F12" s="84" t="s">
        <v>26</v>
      </c>
      <c r="G12" s="88" t="s">
        <v>15</v>
      </c>
      <c r="H12" s="82"/>
      <c r="I12" s="130">
        <v>46983</v>
      </c>
      <c r="J12" s="82"/>
      <c r="K12" s="82" t="s">
        <v>221</v>
      </c>
      <c r="L12" s="82" t="s">
        <v>222</v>
      </c>
      <c r="M12" s="85" t="s">
        <v>223</v>
      </c>
      <c r="N12" s="129" t="s">
        <v>151</v>
      </c>
      <c r="O12" s="82"/>
      <c r="P12" s="82" t="s">
        <v>79</v>
      </c>
      <c r="Q12" s="85" t="s">
        <v>224</v>
      </c>
      <c r="R12" s="85" t="s">
        <v>44</v>
      </c>
      <c r="S12" s="82" t="s">
        <v>154</v>
      </c>
      <c r="T12" s="131" t="s">
        <v>325</v>
      </c>
    </row>
    <row r="13" spans="1:20" ht="51.75" customHeight="1" x14ac:dyDescent="0.25">
      <c r="A13" s="134" t="s">
        <v>323</v>
      </c>
      <c r="B13" s="85" t="s">
        <v>307</v>
      </c>
      <c r="C13" s="85" t="s">
        <v>125</v>
      </c>
      <c r="D13" s="85" t="s">
        <v>94</v>
      </c>
      <c r="E13" s="85" t="s">
        <v>109</v>
      </c>
      <c r="F13" s="84" t="s">
        <v>26</v>
      </c>
      <c r="G13" s="83" t="s">
        <v>2</v>
      </c>
      <c r="H13" s="85"/>
      <c r="I13" s="131" t="s">
        <v>326</v>
      </c>
      <c r="J13" s="85"/>
      <c r="K13" s="82" t="s">
        <v>221</v>
      </c>
      <c r="L13" s="131" t="s">
        <v>327</v>
      </c>
      <c r="M13" s="131" t="s">
        <v>328</v>
      </c>
      <c r="N13" s="131" t="s">
        <v>151</v>
      </c>
      <c r="O13" s="85"/>
      <c r="P13" s="85" t="s">
        <v>90</v>
      </c>
      <c r="Q13" s="85"/>
      <c r="R13" s="85"/>
      <c r="S13" s="85" t="s">
        <v>154</v>
      </c>
      <c r="T13" s="85"/>
    </row>
    <row r="14" spans="1:20" ht="51.75" hidden="1" customHeight="1" x14ac:dyDescent="0.25">
      <c r="A14" s="81" t="s">
        <v>225</v>
      </c>
      <c r="B14" s="82" t="s">
        <v>308</v>
      </c>
      <c r="C14" s="82"/>
      <c r="D14" s="82"/>
      <c r="E14" s="82"/>
      <c r="F14" s="84" t="s">
        <v>26</v>
      </c>
      <c r="G14" s="83" t="s">
        <v>20</v>
      </c>
      <c r="H14" s="82"/>
      <c r="I14" s="82"/>
      <c r="J14" s="82"/>
      <c r="K14" s="82"/>
      <c r="L14" s="82"/>
      <c r="M14" s="82"/>
      <c r="N14" s="82" t="s">
        <v>195</v>
      </c>
      <c r="O14" s="82"/>
      <c r="P14" s="82" t="s">
        <v>79</v>
      </c>
      <c r="Q14" s="82"/>
      <c r="R14" s="82"/>
      <c r="S14" s="82" t="s">
        <v>154</v>
      </c>
      <c r="T14" s="82"/>
    </row>
    <row r="15" spans="1:20" hidden="1" x14ac:dyDescent="0.25">
      <c r="A15" s="81" t="s">
        <v>347</v>
      </c>
      <c r="B15" s="82" t="s">
        <v>308</v>
      </c>
      <c r="C15" s="82"/>
      <c r="D15" s="82"/>
      <c r="E15" s="82"/>
      <c r="F15" s="84" t="s">
        <v>26</v>
      </c>
      <c r="G15" s="83" t="s">
        <v>20</v>
      </c>
      <c r="H15" s="82"/>
      <c r="I15" s="82"/>
      <c r="J15" s="82"/>
      <c r="K15" s="82"/>
      <c r="L15" s="82"/>
      <c r="M15" s="82"/>
      <c r="N15" s="82" t="s">
        <v>195</v>
      </c>
      <c r="O15" s="82"/>
      <c r="P15" s="82" t="s">
        <v>79</v>
      </c>
      <c r="Q15" s="82"/>
      <c r="R15" s="82"/>
      <c r="S15" s="82" t="s">
        <v>254</v>
      </c>
      <c r="T15" s="82"/>
    </row>
    <row r="16" spans="1:20" hidden="1" x14ac:dyDescent="0.25">
      <c r="A16" s="81" t="s">
        <v>348</v>
      </c>
      <c r="B16" s="82"/>
      <c r="C16" s="82"/>
      <c r="D16" s="82"/>
      <c r="E16" s="82"/>
      <c r="F16" s="84" t="s">
        <v>26</v>
      </c>
      <c r="G16" s="83" t="s">
        <v>20</v>
      </c>
      <c r="H16" s="82"/>
      <c r="I16" s="82"/>
      <c r="J16" s="82"/>
      <c r="K16" s="82"/>
      <c r="L16" s="82"/>
      <c r="M16" s="82"/>
      <c r="N16" s="82" t="s">
        <v>195</v>
      </c>
      <c r="O16" s="82"/>
      <c r="P16" s="82" t="s">
        <v>79</v>
      </c>
      <c r="Q16" s="82"/>
      <c r="R16" s="82"/>
      <c r="S16" s="82" t="s">
        <v>350</v>
      </c>
      <c r="T16" s="82"/>
    </row>
    <row r="17" spans="1:20" hidden="1" x14ac:dyDescent="0.25">
      <c r="A17" s="81" t="s">
        <v>349</v>
      </c>
      <c r="B17" s="82"/>
      <c r="C17" s="82"/>
      <c r="D17" s="82"/>
      <c r="E17" s="82"/>
      <c r="F17" s="84" t="s">
        <v>26</v>
      </c>
      <c r="G17" s="83" t="s">
        <v>20</v>
      </c>
      <c r="H17" s="82"/>
      <c r="I17" s="82"/>
      <c r="J17" s="82"/>
      <c r="K17" s="82"/>
      <c r="L17" s="82"/>
      <c r="M17" s="82"/>
      <c r="N17" s="82" t="s">
        <v>195</v>
      </c>
      <c r="O17" s="82"/>
      <c r="P17" s="82" t="s">
        <v>79</v>
      </c>
      <c r="Q17" s="82"/>
      <c r="R17" s="82"/>
      <c r="S17" s="82" t="s">
        <v>351</v>
      </c>
      <c r="T17" s="82"/>
    </row>
    <row r="18" spans="1:20" ht="51" x14ac:dyDescent="0.25">
      <c r="A18" s="134" t="s">
        <v>354</v>
      </c>
      <c r="B18" s="85" t="s">
        <v>308</v>
      </c>
      <c r="C18" s="85" t="s">
        <v>125</v>
      </c>
      <c r="D18" s="85" t="s">
        <v>127</v>
      </c>
      <c r="E18" s="85" t="s">
        <v>109</v>
      </c>
      <c r="F18" s="84" t="s">
        <v>26</v>
      </c>
      <c r="G18" s="83" t="s">
        <v>48</v>
      </c>
      <c r="H18" s="85"/>
      <c r="I18" s="131"/>
      <c r="J18" s="85"/>
      <c r="K18" s="82" t="s">
        <v>221</v>
      </c>
      <c r="L18" s="131" t="s">
        <v>327</v>
      </c>
      <c r="M18" s="129" t="s">
        <v>352</v>
      </c>
      <c r="N18" s="131" t="s">
        <v>151</v>
      </c>
      <c r="O18" s="85"/>
      <c r="P18" s="85" t="s">
        <v>90</v>
      </c>
      <c r="Q18" s="85"/>
      <c r="R18" s="85" t="s">
        <v>44</v>
      </c>
      <c r="S18" s="125">
        <v>46166</v>
      </c>
      <c r="T18" s="131" t="s">
        <v>355</v>
      </c>
    </row>
    <row r="19" spans="1:20" ht="51" x14ac:dyDescent="0.25">
      <c r="A19" s="134" t="s">
        <v>353</v>
      </c>
      <c r="B19" s="85" t="s">
        <v>308</v>
      </c>
      <c r="C19" s="85" t="s">
        <v>125</v>
      </c>
      <c r="D19" s="85" t="s">
        <v>127</v>
      </c>
      <c r="E19" s="85" t="s">
        <v>109</v>
      </c>
      <c r="F19" s="84" t="s">
        <v>26</v>
      </c>
      <c r="G19" s="83" t="s">
        <v>47</v>
      </c>
      <c r="H19" s="85"/>
      <c r="I19" s="131"/>
      <c r="J19" s="85"/>
      <c r="K19" s="82" t="s">
        <v>221</v>
      </c>
      <c r="L19" s="131" t="s">
        <v>327</v>
      </c>
      <c r="M19" s="129" t="s">
        <v>352</v>
      </c>
      <c r="N19" s="131" t="s">
        <v>151</v>
      </c>
      <c r="O19" s="85"/>
      <c r="P19" s="85" t="s">
        <v>90</v>
      </c>
      <c r="Q19" s="85"/>
      <c r="R19" s="85" t="s">
        <v>44</v>
      </c>
      <c r="S19" s="125">
        <v>46166</v>
      </c>
      <c r="T19" s="131" t="s">
        <v>356</v>
      </c>
    </row>
  </sheetData>
  <autoFilter ref="A3:T17" xr:uid="{00000000-0009-0000-0000-000002000000}">
    <filterColumn colId="2">
      <customFilters>
        <customFilter val="**"/>
      </customFilters>
    </filterColumn>
  </autoFilter>
  <mergeCells count="2">
    <mergeCell ref="A1:T1"/>
    <mergeCell ref="A2:T2"/>
  </mergeCells>
  <phoneticPr fontId="69" type="noConversion"/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xr:uid="{00000000-0002-0000-0200-000000000000}">
          <x14:formula1>
            <xm:f>LOOKUP!$B$3:$B$6</xm:f>
          </x14:formula1>
          <x14:formula2>
            <xm:f>0</xm:f>
          </x14:formula2>
          <xm:sqref>F4:F200</xm:sqref>
        </x14:dataValidation>
        <x14:dataValidation type="list" allowBlank="1" xr:uid="{00000000-0002-0000-0200-000001000000}">
          <x14:formula1>
            <xm:f>LOOKUP!$A$3:$A$14</xm:f>
          </x14:formula1>
          <x14:formula2>
            <xm:f>0</xm:f>
          </x14:formula2>
          <xm:sqref>G4:G200</xm:sqref>
        </x14:dataValidation>
        <x14:dataValidation type="list" allowBlank="1" xr:uid="{00000000-0002-0000-0200-000004000000}">
          <x14:formula1>
            <xm:f>LOOKUP!$C$3:$C$14</xm:f>
          </x14:formula1>
          <x14:formula2>
            <xm:f>0</xm:f>
          </x14:formula2>
          <xm:sqref>D4:D200</xm:sqref>
        </x14:dataValidation>
        <x14:dataValidation type="list" allowBlank="1" xr:uid="{00000000-0002-0000-0200-000005000000}">
          <x14:formula1>
            <xm:f>LOOKUP!$H$3:$H$11</xm:f>
          </x14:formula1>
          <x14:formula2>
            <xm:f>0</xm:f>
          </x14:formula2>
          <xm:sqref>E4:E200</xm:sqref>
        </x14:dataValidation>
        <x14:dataValidation type="list" allowBlank="1" xr:uid="{00000000-0002-0000-0200-000006000000}">
          <x14:formula1>
            <xm:f>LOOKUP!$E$3:$E$6</xm:f>
          </x14:formula1>
          <x14:formula2>
            <xm:f>0</xm:f>
          </x14:formula2>
          <xm:sqref>P4:P200</xm:sqref>
        </x14:dataValidation>
        <x14:dataValidation type="list" errorStyle="warning" allowBlank="1" showInputMessage="1" showErrorMessage="1" errorTitle="Company not in directory" error="Please pick a company from the COMPANIES directory, or add a new entry there first." promptTitle="Company / Client" prompt="Select a client company from the COMPANIES directory." xr:uid="{AA0D71FA-004D-4104-9993-CD83309278A6}">
          <x14:formula1>
            <xm:f>COMPANIES!$B$4:$B$12</xm:f>
          </x14:formula1>
          <xm:sqref>B4:B200</xm:sqref>
        </x14:dataValidation>
        <x14:dataValidation type="list" allowBlank="1" xr:uid="{11D7A950-0EE7-4232-A248-3AA46BAF8726}">
          <x14:formula1>
            <xm:f>LOOKUP!$G$3:$G$12</xm:f>
          </x14:formula1>
          <xm:sqref>C1:C1048576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838F"/>
  </sheetPr>
  <dimension ref="A1:N16"/>
  <sheetViews>
    <sheetView showGridLines="0" zoomScaleNormal="100" workbookViewId="0">
      <pane ySplit="3" topLeftCell="A10" activePane="bottomLeft" state="frozen"/>
      <selection pane="bottomLeft" activeCell="J14" sqref="J14"/>
    </sheetView>
  </sheetViews>
  <sheetFormatPr defaultColWidth="8.7109375" defaultRowHeight="15" x14ac:dyDescent="0.25"/>
  <cols>
    <col min="1" max="1" width="10" customWidth="1"/>
    <col min="2" max="2" width="13" customWidth="1"/>
    <col min="3" max="3" width="9" customWidth="1"/>
    <col min="4" max="4" width="22" customWidth="1"/>
    <col min="5" max="6" width="20" customWidth="1"/>
    <col min="7" max="7" width="26" customWidth="1"/>
    <col min="8" max="8" width="16" customWidth="1"/>
    <col min="9" max="9" width="40" customWidth="1"/>
    <col min="10" max="10" width="26" customWidth="1"/>
    <col min="11" max="11" width="30" customWidth="1"/>
    <col min="12" max="12" width="15" customWidth="1"/>
    <col min="13" max="13" width="20" customWidth="1"/>
    <col min="14" max="14" width="18" customWidth="1"/>
  </cols>
  <sheetData>
    <row r="1" spans="1:14" ht="36" customHeight="1" x14ac:dyDescent="0.25">
      <c r="A1" s="116" t="s">
        <v>226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</row>
    <row r="2" spans="1:14" ht="19.5" customHeight="1" x14ac:dyDescent="0.25">
      <c r="A2" s="117" t="s">
        <v>303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</row>
    <row r="3" spans="1:14" ht="30" customHeight="1" x14ac:dyDescent="0.25">
      <c r="A3" s="73" t="s">
        <v>227</v>
      </c>
      <c r="B3" s="73" t="s">
        <v>228</v>
      </c>
      <c r="C3" s="73" t="s">
        <v>229</v>
      </c>
      <c r="D3" s="73" t="s">
        <v>130</v>
      </c>
      <c r="E3" s="73" t="s">
        <v>230</v>
      </c>
      <c r="F3" s="73" t="s">
        <v>231</v>
      </c>
      <c r="G3" s="73" t="s">
        <v>232</v>
      </c>
      <c r="H3" s="73" t="s">
        <v>233</v>
      </c>
      <c r="I3" s="73" t="s">
        <v>234</v>
      </c>
      <c r="J3" s="73" t="s">
        <v>235</v>
      </c>
      <c r="K3" s="73" t="s">
        <v>236</v>
      </c>
      <c r="L3" s="73" t="s">
        <v>237</v>
      </c>
      <c r="M3" s="73" t="s">
        <v>238</v>
      </c>
      <c r="N3" s="73" t="s">
        <v>71</v>
      </c>
    </row>
    <row r="4" spans="1:14" ht="78.75" customHeight="1" x14ac:dyDescent="0.25">
      <c r="A4" s="15" t="s">
        <v>239</v>
      </c>
      <c r="B4" s="82" t="s">
        <v>240</v>
      </c>
      <c r="C4" s="82" t="s">
        <v>241</v>
      </c>
      <c r="D4" s="82" t="s">
        <v>56</v>
      </c>
      <c r="E4" s="82" t="s">
        <v>59</v>
      </c>
      <c r="F4" s="82" t="s">
        <v>242</v>
      </c>
      <c r="G4" s="82" t="s">
        <v>243</v>
      </c>
      <c r="H4" s="82" t="s">
        <v>244</v>
      </c>
      <c r="I4" s="82" t="s">
        <v>245</v>
      </c>
      <c r="J4" s="82" t="s">
        <v>80</v>
      </c>
      <c r="K4" s="82" t="s">
        <v>246</v>
      </c>
      <c r="L4" s="82" t="s">
        <v>247</v>
      </c>
      <c r="M4" s="82" t="s">
        <v>79</v>
      </c>
      <c r="N4" s="87" t="s">
        <v>5</v>
      </c>
    </row>
    <row r="5" spans="1:14" ht="76.5" x14ac:dyDescent="0.25">
      <c r="A5" s="15" t="s">
        <v>248</v>
      </c>
      <c r="B5" s="85" t="s">
        <v>240</v>
      </c>
      <c r="C5" s="85" t="s">
        <v>249</v>
      </c>
      <c r="D5" s="85" t="s">
        <v>60</v>
      </c>
      <c r="E5" s="85" t="s">
        <v>59</v>
      </c>
      <c r="F5" s="85" t="s">
        <v>250</v>
      </c>
      <c r="G5" s="85" t="s">
        <v>243</v>
      </c>
      <c r="H5" s="85" t="s">
        <v>244</v>
      </c>
      <c r="I5" s="85" t="s">
        <v>251</v>
      </c>
      <c r="J5" s="85" t="s">
        <v>80</v>
      </c>
      <c r="K5" s="85" t="s">
        <v>252</v>
      </c>
      <c r="L5" s="85" t="s">
        <v>247</v>
      </c>
      <c r="M5" s="85" t="s">
        <v>79</v>
      </c>
      <c r="N5" s="87" t="s">
        <v>5</v>
      </c>
    </row>
    <row r="6" spans="1:14" ht="59.25" customHeight="1" x14ac:dyDescent="0.25">
      <c r="A6" s="15" t="s">
        <v>253</v>
      </c>
      <c r="B6" s="82" t="s">
        <v>254</v>
      </c>
      <c r="C6" s="82"/>
      <c r="D6" s="82" t="s">
        <v>56</v>
      </c>
      <c r="E6" s="82" t="s">
        <v>59</v>
      </c>
      <c r="F6" s="82" t="s">
        <v>255</v>
      </c>
      <c r="G6" s="82" t="s">
        <v>256</v>
      </c>
      <c r="H6" s="82" t="s">
        <v>257</v>
      </c>
      <c r="I6" s="82" t="s">
        <v>258</v>
      </c>
      <c r="J6" s="82" t="s">
        <v>80</v>
      </c>
      <c r="K6" s="82" t="s">
        <v>259</v>
      </c>
      <c r="L6" s="82" t="s">
        <v>247</v>
      </c>
      <c r="M6" s="82" t="s">
        <v>79</v>
      </c>
      <c r="N6" s="83" t="s">
        <v>260</v>
      </c>
    </row>
    <row r="7" spans="1:14" ht="63.75" x14ac:dyDescent="0.25">
      <c r="A7" s="15" t="s">
        <v>261</v>
      </c>
      <c r="B7" s="85" t="s">
        <v>254</v>
      </c>
      <c r="C7" s="85"/>
      <c r="D7" s="85" t="s">
        <v>60</v>
      </c>
      <c r="E7" s="85" t="s">
        <v>262</v>
      </c>
      <c r="F7" s="85" t="s">
        <v>263</v>
      </c>
      <c r="G7" s="85" t="s">
        <v>256</v>
      </c>
      <c r="H7" s="85" t="s">
        <v>257</v>
      </c>
      <c r="I7" s="85" t="s">
        <v>264</v>
      </c>
      <c r="J7" s="85" t="s">
        <v>80</v>
      </c>
      <c r="K7" s="85" t="s">
        <v>265</v>
      </c>
      <c r="L7" s="85" t="s">
        <v>266</v>
      </c>
      <c r="M7" s="85" t="s">
        <v>79</v>
      </c>
      <c r="N7" s="83" t="s">
        <v>260</v>
      </c>
    </row>
    <row r="8" spans="1:14" ht="76.5" x14ac:dyDescent="0.25">
      <c r="A8" s="15" t="s">
        <v>267</v>
      </c>
      <c r="B8" s="82" t="s">
        <v>254</v>
      </c>
      <c r="C8" s="82"/>
      <c r="D8" s="82" t="s">
        <v>60</v>
      </c>
      <c r="E8" s="82" t="s">
        <v>268</v>
      </c>
      <c r="F8" s="82" t="s">
        <v>269</v>
      </c>
      <c r="G8" s="82" t="s">
        <v>256</v>
      </c>
      <c r="H8" s="82" t="s">
        <v>257</v>
      </c>
      <c r="I8" s="82" t="s">
        <v>270</v>
      </c>
      <c r="J8" s="82" t="s">
        <v>97</v>
      </c>
      <c r="K8" s="82" t="s">
        <v>271</v>
      </c>
      <c r="L8" s="82" t="s">
        <v>19</v>
      </c>
      <c r="M8" s="82" t="s">
        <v>79</v>
      </c>
      <c r="N8" s="83" t="s">
        <v>260</v>
      </c>
    </row>
    <row r="9" spans="1:14" ht="57.75" customHeight="1" x14ac:dyDescent="0.25">
      <c r="A9" s="15" t="s">
        <v>272</v>
      </c>
      <c r="B9" s="125">
        <v>46167</v>
      </c>
      <c r="C9" s="85"/>
      <c r="D9" s="85" t="s">
        <v>307</v>
      </c>
      <c r="E9" s="131" t="s">
        <v>329</v>
      </c>
      <c r="F9" s="131" t="s">
        <v>330</v>
      </c>
      <c r="G9" s="85"/>
      <c r="H9" s="131" t="s">
        <v>257</v>
      </c>
      <c r="I9" s="131" t="s">
        <v>331</v>
      </c>
      <c r="J9" s="85" t="s">
        <v>80</v>
      </c>
      <c r="K9" s="85"/>
      <c r="L9" s="85"/>
      <c r="M9" s="85" t="s">
        <v>79</v>
      </c>
      <c r="N9" s="87" t="s">
        <v>5</v>
      </c>
    </row>
    <row r="10" spans="1:14" ht="57.75" customHeight="1" x14ac:dyDescent="0.25">
      <c r="A10" s="15" t="s">
        <v>274</v>
      </c>
      <c r="B10" s="125">
        <v>46167</v>
      </c>
      <c r="C10" s="82"/>
      <c r="D10" s="82" t="s">
        <v>307</v>
      </c>
      <c r="E10" s="129" t="s">
        <v>329</v>
      </c>
      <c r="F10" s="129" t="s">
        <v>330</v>
      </c>
      <c r="G10" s="82"/>
      <c r="H10" s="82" t="s">
        <v>273</v>
      </c>
      <c r="I10" s="129" t="s">
        <v>332</v>
      </c>
      <c r="J10" s="129" t="s">
        <v>80</v>
      </c>
      <c r="K10" s="82"/>
      <c r="L10" s="130">
        <v>46188</v>
      </c>
      <c r="M10" s="129" t="s">
        <v>333</v>
      </c>
      <c r="N10" s="89" t="s">
        <v>53</v>
      </c>
    </row>
    <row r="11" spans="1:14" ht="57.75" customHeight="1" x14ac:dyDescent="0.25">
      <c r="A11" s="15" t="s">
        <v>275</v>
      </c>
      <c r="B11" s="125">
        <v>46157</v>
      </c>
      <c r="C11" s="85"/>
      <c r="D11" s="85" t="s">
        <v>308</v>
      </c>
      <c r="E11" s="131" t="s">
        <v>334</v>
      </c>
      <c r="F11" s="131" t="s">
        <v>86</v>
      </c>
      <c r="G11" s="85"/>
      <c r="H11" s="85" t="s">
        <v>273</v>
      </c>
      <c r="I11" s="131" t="s">
        <v>341</v>
      </c>
      <c r="J11" s="131" t="s">
        <v>80</v>
      </c>
      <c r="K11" s="85"/>
      <c r="L11" s="85" t="s">
        <v>247</v>
      </c>
      <c r="M11" s="129" t="s">
        <v>333</v>
      </c>
      <c r="N11" s="89" t="s">
        <v>53</v>
      </c>
    </row>
    <row r="12" spans="1:14" x14ac:dyDescent="0.25">
      <c r="A12" s="15" t="s">
        <v>336</v>
      </c>
      <c r="B12" s="125">
        <v>46162</v>
      </c>
      <c r="C12" s="85"/>
      <c r="D12" s="85" t="s">
        <v>308</v>
      </c>
      <c r="E12" s="131" t="s">
        <v>334</v>
      </c>
      <c r="F12" s="131" t="s">
        <v>86</v>
      </c>
      <c r="G12" s="85"/>
      <c r="H12" s="85" t="s">
        <v>273</v>
      </c>
      <c r="I12" s="131" t="s">
        <v>342</v>
      </c>
      <c r="J12" s="85" t="s">
        <v>85</v>
      </c>
      <c r="K12" s="85"/>
      <c r="L12" s="85" t="s">
        <v>247</v>
      </c>
      <c r="M12" s="129" t="s">
        <v>333</v>
      </c>
      <c r="N12" s="89" t="s">
        <v>53</v>
      </c>
    </row>
    <row r="13" spans="1:14" ht="25.5" x14ac:dyDescent="0.25">
      <c r="A13" s="15" t="s">
        <v>337</v>
      </c>
      <c r="B13" s="130">
        <v>46183</v>
      </c>
      <c r="C13" s="85"/>
      <c r="D13" s="85" t="s">
        <v>309</v>
      </c>
      <c r="E13" s="85"/>
      <c r="F13" s="85"/>
      <c r="G13" s="85"/>
      <c r="H13" s="82" t="s">
        <v>244</v>
      </c>
      <c r="I13" s="131" t="s">
        <v>343</v>
      </c>
      <c r="J13" s="85" t="s">
        <v>97</v>
      </c>
      <c r="K13" s="131" t="s">
        <v>359</v>
      </c>
      <c r="L13" s="125">
        <v>46183</v>
      </c>
      <c r="M13" s="129" t="s">
        <v>333</v>
      </c>
      <c r="N13" s="89" t="s">
        <v>53</v>
      </c>
    </row>
    <row r="14" spans="1:14" ht="25.5" x14ac:dyDescent="0.25">
      <c r="A14" s="15" t="s">
        <v>338</v>
      </c>
      <c r="B14" s="130">
        <v>46183</v>
      </c>
      <c r="C14" s="85"/>
      <c r="D14" s="85" t="s">
        <v>309</v>
      </c>
      <c r="E14" s="85"/>
      <c r="F14" s="85"/>
      <c r="G14" s="85"/>
      <c r="H14" s="82" t="s">
        <v>244</v>
      </c>
      <c r="I14" s="131" t="s">
        <v>344</v>
      </c>
      <c r="J14" s="85" t="s">
        <v>97</v>
      </c>
      <c r="K14" s="131" t="s">
        <v>359</v>
      </c>
      <c r="L14" s="125">
        <v>46183</v>
      </c>
      <c r="M14" s="129" t="s">
        <v>333</v>
      </c>
      <c r="N14" s="89" t="s">
        <v>53</v>
      </c>
    </row>
    <row r="15" spans="1:14" ht="25.5" x14ac:dyDescent="0.25">
      <c r="A15" s="15" t="s">
        <v>339</v>
      </c>
      <c r="B15" s="130">
        <v>46184</v>
      </c>
      <c r="C15" s="85"/>
      <c r="D15" s="85" t="s">
        <v>111</v>
      </c>
      <c r="E15" s="85"/>
      <c r="F15" s="85"/>
      <c r="G15" s="85"/>
      <c r="H15" s="82" t="s">
        <v>244</v>
      </c>
      <c r="I15" s="131" t="s">
        <v>345</v>
      </c>
      <c r="J15" s="85" t="s">
        <v>97</v>
      </c>
      <c r="K15" s="131" t="s">
        <v>360</v>
      </c>
      <c r="L15" s="125">
        <v>46184</v>
      </c>
      <c r="M15" s="129" t="s">
        <v>333</v>
      </c>
      <c r="N15" s="89" t="s">
        <v>53</v>
      </c>
    </row>
    <row r="16" spans="1:14" ht="25.5" x14ac:dyDescent="0.25">
      <c r="A16" s="15" t="s">
        <v>340</v>
      </c>
      <c r="B16" s="130">
        <v>46184</v>
      </c>
      <c r="C16" s="85"/>
      <c r="D16" s="85" t="s">
        <v>111</v>
      </c>
      <c r="E16" s="85"/>
      <c r="F16" s="85"/>
      <c r="G16" s="85"/>
      <c r="H16" s="82" t="s">
        <v>244</v>
      </c>
      <c r="I16" s="131" t="s">
        <v>346</v>
      </c>
      <c r="J16" s="85" t="s">
        <v>97</v>
      </c>
      <c r="K16" s="131" t="s">
        <v>360</v>
      </c>
      <c r="L16" s="125">
        <v>46184</v>
      </c>
      <c r="M16" s="129" t="s">
        <v>333</v>
      </c>
      <c r="N16" s="89" t="s">
        <v>53</v>
      </c>
    </row>
  </sheetData>
  <mergeCells count="2">
    <mergeCell ref="A1:N1"/>
    <mergeCell ref="A2:N2"/>
  </mergeCells>
  <phoneticPr fontId="69" type="noConversion"/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300-000001000000}">
          <x14:formula1>
            <xm:f>LOOKUP!$F$3:$F$9</xm:f>
          </x14:formula1>
          <x14:formula2>
            <xm:f>0</xm:f>
          </x14:formula2>
          <xm:sqref>J4:J198</xm:sqref>
        </x14:dataValidation>
        <x14:dataValidation type="list" errorStyle="warning" allowBlank="1" showInputMessage="1" showErrorMessage="1" errorTitle="Company not in directory" error="Please pick a company from the list, or add a new one in the COMPANIES sheet." promptTitle="Company / Client" prompt="Select a client company from the COMPANIES directory." xr:uid="{B3601D5C-1CE3-43FE-87C5-A7E04ECC6470}">
          <x14:formula1>
            <xm:f>COMPANIES!$B$4:$B$12</xm:f>
          </x14:formula1>
          <xm:sqref>D4:D198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4527A0"/>
  </sheetPr>
  <dimension ref="A1:J13"/>
  <sheetViews>
    <sheetView showGridLines="0" topLeftCell="A4" zoomScaleNormal="100" workbookViewId="0">
      <selection activeCell="B9" sqref="B9"/>
    </sheetView>
  </sheetViews>
  <sheetFormatPr defaultColWidth="8.7109375" defaultRowHeight="15" x14ac:dyDescent="0.25"/>
  <cols>
    <col min="1" max="1" width="9" customWidth="1"/>
    <col min="2" max="2" width="28" customWidth="1"/>
    <col min="3" max="3" width="16" customWidth="1"/>
    <col min="4" max="5" width="22" customWidth="1"/>
    <col min="6" max="6" width="16.7109375" bestFit="1" customWidth="1"/>
    <col min="7" max="7" width="28" customWidth="1"/>
    <col min="8" max="8" width="18" customWidth="1"/>
    <col min="9" max="9" width="16" customWidth="1"/>
    <col min="10" max="10" width="20" customWidth="1"/>
  </cols>
  <sheetData>
    <row r="1" spans="1:10" ht="17.25" customHeight="1" x14ac:dyDescent="0.25">
      <c r="A1" s="118" t="s">
        <v>276</v>
      </c>
      <c r="B1" s="118"/>
      <c r="C1" s="118"/>
      <c r="D1" s="118"/>
      <c r="E1" s="118"/>
      <c r="F1" s="118"/>
      <c r="G1" s="118"/>
      <c r="H1" s="118"/>
      <c r="I1" s="118"/>
      <c r="J1" s="118"/>
    </row>
    <row r="2" spans="1:10" ht="15" customHeight="1" x14ac:dyDescent="0.25">
      <c r="A2" s="119" t="s">
        <v>304</v>
      </c>
      <c r="B2" s="119"/>
      <c r="C2" s="119"/>
      <c r="D2" s="119"/>
      <c r="E2" s="119"/>
      <c r="F2" s="119"/>
      <c r="G2" s="119"/>
      <c r="H2" s="119"/>
      <c r="I2" s="119"/>
      <c r="J2" s="119"/>
    </row>
    <row r="3" spans="1:10" ht="15" customHeight="1" x14ac:dyDescent="0.25">
      <c r="A3" s="17" t="s">
        <v>277</v>
      </c>
      <c r="B3" s="17" t="s">
        <v>278</v>
      </c>
      <c r="C3" s="17" t="s">
        <v>279</v>
      </c>
      <c r="D3" s="17" t="s">
        <v>280</v>
      </c>
      <c r="E3" s="17" t="s">
        <v>231</v>
      </c>
      <c r="F3" s="17" t="s">
        <v>281</v>
      </c>
      <c r="G3" s="17" t="s">
        <v>282</v>
      </c>
      <c r="H3" s="17" t="s">
        <v>283</v>
      </c>
      <c r="I3" s="17" t="s">
        <v>284</v>
      </c>
      <c r="J3" s="17" t="s">
        <v>285</v>
      </c>
    </row>
    <row r="4" spans="1:10" ht="36" customHeight="1" x14ac:dyDescent="0.25">
      <c r="A4" s="19" t="s">
        <v>286</v>
      </c>
      <c r="B4" s="90" t="s">
        <v>56</v>
      </c>
      <c r="C4" s="91" t="s">
        <v>287</v>
      </c>
      <c r="D4" s="123" t="s">
        <v>312</v>
      </c>
      <c r="E4" s="123" t="s">
        <v>81</v>
      </c>
      <c r="F4" s="121">
        <v>8801711704588</v>
      </c>
      <c r="G4" s="90" t="s">
        <v>288</v>
      </c>
      <c r="H4" s="90" t="s">
        <v>184</v>
      </c>
      <c r="I4" s="90" t="s">
        <v>289</v>
      </c>
      <c r="J4" s="90" t="s">
        <v>15</v>
      </c>
    </row>
    <row r="5" spans="1:10" ht="36" customHeight="1" x14ac:dyDescent="0.25">
      <c r="A5" s="19" t="s">
        <v>290</v>
      </c>
      <c r="B5" s="92" t="s">
        <v>60</v>
      </c>
      <c r="C5" s="91" t="s">
        <v>287</v>
      </c>
      <c r="D5" s="92" t="s">
        <v>310</v>
      </c>
      <c r="E5" s="122" t="s">
        <v>311</v>
      </c>
      <c r="F5" s="121">
        <v>8801959923499</v>
      </c>
      <c r="G5" s="124" t="s">
        <v>313</v>
      </c>
      <c r="H5" s="92" t="s">
        <v>184</v>
      </c>
      <c r="I5" s="92" t="s">
        <v>291</v>
      </c>
      <c r="J5" s="92" t="s">
        <v>15</v>
      </c>
    </row>
    <row r="6" spans="1:10" ht="36" customHeight="1" x14ac:dyDescent="0.25">
      <c r="A6" s="19" t="s">
        <v>292</v>
      </c>
      <c r="B6" s="90" t="s">
        <v>307</v>
      </c>
      <c r="C6" s="91" t="s">
        <v>287</v>
      </c>
      <c r="D6" s="123" t="s">
        <v>314</v>
      </c>
      <c r="E6" s="123" t="s">
        <v>315</v>
      </c>
      <c r="F6" s="121"/>
      <c r="G6" s="90"/>
      <c r="H6" s="90" t="s">
        <v>184</v>
      </c>
      <c r="I6" s="123" t="s">
        <v>289</v>
      </c>
      <c r="J6" s="123" t="s">
        <v>15</v>
      </c>
    </row>
    <row r="7" spans="1:10" ht="36" customHeight="1" x14ac:dyDescent="0.25">
      <c r="A7" s="19" t="s">
        <v>295</v>
      </c>
      <c r="B7" s="92" t="s">
        <v>308</v>
      </c>
      <c r="C7" s="83" t="s">
        <v>293</v>
      </c>
      <c r="D7" s="122" t="s">
        <v>334</v>
      </c>
      <c r="E7" s="122" t="s">
        <v>86</v>
      </c>
      <c r="F7" s="121"/>
      <c r="G7" s="92"/>
      <c r="H7" s="92" t="s">
        <v>184</v>
      </c>
      <c r="I7" s="122" t="s">
        <v>289</v>
      </c>
      <c r="J7" s="92" t="s">
        <v>293</v>
      </c>
    </row>
    <row r="8" spans="1:10" ht="36" customHeight="1" x14ac:dyDescent="0.25">
      <c r="A8" s="19" t="s">
        <v>296</v>
      </c>
      <c r="B8" s="90" t="s">
        <v>101</v>
      </c>
      <c r="C8" s="83" t="s">
        <v>293</v>
      </c>
      <c r="D8" s="90"/>
      <c r="E8" s="90"/>
      <c r="F8" s="121"/>
      <c r="G8" s="90"/>
      <c r="H8" s="90" t="s">
        <v>184</v>
      </c>
      <c r="I8" s="90" t="s">
        <v>294</v>
      </c>
      <c r="J8" s="90" t="s">
        <v>293</v>
      </c>
    </row>
    <row r="9" spans="1:10" ht="36" customHeight="1" x14ac:dyDescent="0.25">
      <c r="A9" s="19" t="s">
        <v>297</v>
      </c>
      <c r="B9" s="92" t="s">
        <v>106</v>
      </c>
      <c r="C9" s="83" t="s">
        <v>293</v>
      </c>
      <c r="D9" s="92"/>
      <c r="E9" s="92"/>
      <c r="F9" s="121"/>
      <c r="G9" s="92"/>
      <c r="H9" s="92" t="s">
        <v>184</v>
      </c>
      <c r="I9" s="92" t="s">
        <v>294</v>
      </c>
      <c r="J9" s="92" t="s">
        <v>293</v>
      </c>
    </row>
    <row r="10" spans="1:10" ht="36" customHeight="1" x14ac:dyDescent="0.25">
      <c r="A10" s="19" t="s">
        <v>298</v>
      </c>
      <c r="B10" s="123" t="s">
        <v>111</v>
      </c>
      <c r="C10" s="91" t="s">
        <v>287</v>
      </c>
      <c r="D10" s="90"/>
      <c r="E10" s="90"/>
      <c r="F10" s="121"/>
      <c r="G10" s="90"/>
      <c r="H10" s="90" t="s">
        <v>184</v>
      </c>
      <c r="I10" s="122" t="s">
        <v>289</v>
      </c>
      <c r="J10" s="90" t="s">
        <v>293</v>
      </c>
    </row>
    <row r="11" spans="1:10" ht="36" customHeight="1" x14ac:dyDescent="0.25">
      <c r="A11" s="19" t="s">
        <v>299</v>
      </c>
      <c r="B11" s="122" t="s">
        <v>309</v>
      </c>
      <c r="C11" s="91" t="s">
        <v>287</v>
      </c>
      <c r="D11" s="92"/>
      <c r="E11" s="92"/>
      <c r="F11" s="121"/>
      <c r="G11" s="92"/>
      <c r="H11" s="92" t="s">
        <v>184</v>
      </c>
      <c r="I11" s="122" t="s">
        <v>289</v>
      </c>
      <c r="J11" s="122" t="s">
        <v>15</v>
      </c>
    </row>
    <row r="12" spans="1:10" ht="36" customHeight="1" x14ac:dyDescent="0.25">
      <c r="A12" s="19" t="s">
        <v>300</v>
      </c>
      <c r="B12" s="123" t="s">
        <v>335</v>
      </c>
      <c r="C12" s="83" t="s">
        <v>293</v>
      </c>
      <c r="D12" s="90"/>
      <c r="E12" s="90"/>
      <c r="F12" s="121"/>
      <c r="G12" s="90"/>
      <c r="H12" s="90" t="s">
        <v>184</v>
      </c>
      <c r="I12" s="90" t="s">
        <v>294</v>
      </c>
      <c r="J12" s="90" t="s">
        <v>293</v>
      </c>
    </row>
    <row r="13" spans="1:10" ht="36" customHeight="1" x14ac:dyDescent="0.25">
      <c r="A13" s="19" t="s">
        <v>301</v>
      </c>
      <c r="B13" s="92" t="s">
        <v>302</v>
      </c>
      <c r="C13" s="92"/>
      <c r="D13" s="92"/>
      <c r="E13" s="92"/>
      <c r="F13" s="92"/>
      <c r="G13" s="92"/>
      <c r="H13" s="92"/>
      <c r="I13" s="92" t="s">
        <v>294</v>
      </c>
      <c r="J13" s="92" t="s">
        <v>293</v>
      </c>
    </row>
  </sheetData>
  <mergeCells count="2">
    <mergeCell ref="A1:J1"/>
    <mergeCell ref="A2:J2"/>
  </mergeCells>
  <hyperlinks>
    <hyperlink ref="G5" r:id="rId1" xr:uid="{3DC21326-E08D-4471-A17F-3AF2B55FC82C}"/>
  </hyperlink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DASHBOARD</vt:lpstr>
      <vt:lpstr>LOOKUP</vt:lpstr>
      <vt:lpstr>TRACKER</vt:lpstr>
      <vt:lpstr>CALL LOG</vt:lpstr>
      <vt:lpstr>COMPANIES</vt:lpstr>
      <vt:lpstr>TRACKER!Print_Area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Zuhayer Arham</cp:lastModifiedBy>
  <cp:revision>0</cp:revision>
  <dcterms:created xsi:type="dcterms:W3CDTF">2026-06-09T16:32:22Z</dcterms:created>
  <dcterms:modified xsi:type="dcterms:W3CDTF">2026-06-09T19:07:37Z</dcterms:modified>
  <dc:language>en-US</dc:language>
</cp:coreProperties>
</file>